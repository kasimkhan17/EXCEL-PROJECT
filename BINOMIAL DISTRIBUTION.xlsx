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brahim\OneDrive\Desktop\kasim probab and stats\"/>
    </mc:Choice>
  </mc:AlternateContent>
  <xr:revisionPtr revIDLastSave="0" documentId="13_ncr:1_{DD1F5EE8-23D8-46C9-9050-31BE8C3ABA42}" xr6:coauthVersionLast="47" xr6:coauthVersionMax="47" xr10:uidLastSave="{00000000-0000-0000-0000-000000000000}"/>
  <bookViews>
    <workbookView xWindow="-110" yWindow="-110" windowWidth="19420" windowHeight="10420" xr2:uid="{CAE67DC4-90AB-41AC-9052-C5D8EE6AE369}"/>
  </bookViews>
  <sheets>
    <sheet name="Binomial Distribu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2" i="1" l="1" a="1"/>
  <c r="F92" i="1" s="1"/>
  <c r="E92" i="1" a="1"/>
  <c r="E92" i="1" s="1"/>
  <c r="F91" i="1" a="1"/>
  <c r="F91" i="1" s="1"/>
  <c r="E91" i="1" a="1"/>
  <c r="E91" i="1" s="1"/>
  <c r="B91" i="1"/>
  <c r="B92" i="1" s="1"/>
  <c r="F90" i="1" a="1"/>
  <c r="F90" i="1" s="1"/>
  <c r="E90" i="1" a="1"/>
  <c r="E90" i="1" s="1"/>
  <c r="B90" i="1"/>
  <c r="F89" i="1" a="1"/>
  <c r="F89" i="1" s="1"/>
  <c r="E89" i="1" a="1"/>
  <c r="E89" i="1" s="1"/>
  <c r="F88" i="1" a="1"/>
  <c r="F88" i="1" s="1"/>
  <c r="E88" i="1" a="1"/>
  <c r="E88" i="1" s="1"/>
  <c r="F87" i="1" a="1"/>
  <c r="F87" i="1" s="1"/>
  <c r="E87" i="1" a="1"/>
  <c r="E87" i="1" s="1"/>
  <c r="F86" i="1" a="1"/>
  <c r="F86" i="1" s="1"/>
  <c r="E86" i="1" a="1"/>
  <c r="E86" i="1" s="1"/>
  <c r="B86" i="1"/>
  <c r="F85" i="1" a="1"/>
  <c r="F85" i="1" s="1"/>
  <c r="E85" i="1" a="1"/>
  <c r="E85" i="1" s="1"/>
  <c r="F62" i="1" a="1"/>
  <c r="F62" i="1" s="1"/>
  <c r="E62" i="1"/>
  <c r="F61" i="1" a="1"/>
  <c r="F61" i="1" s="1"/>
  <c r="E61" i="1" a="1"/>
  <c r="E61" i="1" s="1"/>
  <c r="B61" i="1"/>
  <c r="B62" i="1" s="1"/>
  <c r="F60" i="1" a="1"/>
  <c r="F60" i="1" s="1"/>
  <c r="E60" i="1" a="1"/>
  <c r="E60" i="1" s="1"/>
  <c r="B60" i="1"/>
  <c r="F59" i="1" a="1"/>
  <c r="F59" i="1" s="1"/>
  <c r="E59" i="1" a="1"/>
  <c r="E59" i="1" s="1"/>
  <c r="F58" i="1" a="1"/>
  <c r="F58" i="1" s="1"/>
  <c r="E58" i="1" a="1"/>
  <c r="E58" i="1" s="1"/>
  <c r="F57" i="1" a="1"/>
  <c r="F57" i="1" s="1"/>
  <c r="E57" i="1" a="1"/>
  <c r="E57" i="1" s="1"/>
  <c r="F56" i="1" a="1"/>
  <c r="F56" i="1" s="1"/>
  <c r="E56" i="1" a="1"/>
  <c r="E56" i="1" s="1"/>
  <c r="B56" i="1"/>
  <c r="F55" i="1" a="1"/>
  <c r="F55" i="1" s="1"/>
  <c r="E55" i="1" a="1"/>
  <c r="E55" i="1" s="1"/>
  <c r="F54" i="1" a="1"/>
  <c r="F54" i="1" s="1"/>
  <c r="E54" i="1" a="1"/>
  <c r="E54" i="1" s="1"/>
  <c r="F53" i="1" a="1"/>
  <c r="F53" i="1" s="1"/>
  <c r="E53" i="1"/>
  <c r="F52" i="1"/>
  <c r="E52" i="1" a="1"/>
  <c r="E52" i="1" s="1"/>
  <c r="F38" i="1"/>
  <c r="E38" i="1" a="1"/>
  <c r="E38" i="1" s="1"/>
  <c r="F37" i="1"/>
  <c r="E37" i="1" a="1"/>
  <c r="E37" i="1" s="1"/>
  <c r="F36" i="1"/>
  <c r="E36" i="1" a="1"/>
  <c r="E36" i="1" s="1"/>
  <c r="B36" i="1"/>
  <c r="B37" i="1" s="1"/>
  <c r="F35" i="1"/>
  <c r="E35" i="1" a="1"/>
  <c r="E35" i="1" s="1"/>
  <c r="B35" i="1"/>
  <c r="F34" i="1"/>
  <c r="E34" i="1" a="1"/>
  <c r="E34" i="1" s="1"/>
  <c r="F33" i="1"/>
  <c r="E33" i="1"/>
  <c r="B31" i="1"/>
  <c r="F18" i="1" a="1"/>
  <c r="F18" i="1" s="1"/>
  <c r="E18" i="1" a="1"/>
  <c r="E18" i="1" s="1"/>
  <c r="F17" i="1" a="1"/>
  <c r="F17" i="1" s="1"/>
  <c r="E17" i="1" a="1"/>
  <c r="E17" i="1" s="1"/>
  <c r="B17" i="1"/>
  <c r="B18" i="1" s="1"/>
  <c r="F16" i="1" a="1"/>
  <c r="F16" i="1" s="1"/>
  <c r="E16" i="1" a="1"/>
  <c r="E16" i="1" s="1"/>
  <c r="B16" i="1"/>
  <c r="F15" i="1" a="1"/>
  <c r="F15" i="1" s="1"/>
  <c r="E15" i="1" a="1"/>
  <c r="E15" i="1" s="1"/>
  <c r="F14" i="1" a="1"/>
  <c r="F14" i="1" s="1"/>
  <c r="E14" i="1" a="1"/>
  <c r="E14" i="1" s="1"/>
  <c r="F13" i="1" a="1"/>
  <c r="F13" i="1" s="1"/>
  <c r="E13" i="1" a="1"/>
  <c r="E13" i="1" s="1"/>
  <c r="F12" i="1" a="1"/>
  <c r="F12" i="1" s="1"/>
  <c r="E12" i="1" a="1"/>
  <c r="E12" i="1" s="1"/>
  <c r="B12" i="1"/>
  <c r="F11" i="1" a="1"/>
  <c r="F11" i="1" s="1"/>
  <c r="E11" i="1" a="1"/>
  <c r="E11" i="1" s="1"/>
  <c r="F10" i="1" a="1"/>
  <c r="F10" i="1" s="1"/>
  <c r="E10" i="1" a="1"/>
  <c r="E10" i="1" s="1"/>
</calcChain>
</file>

<file path=xl/sharedStrings.xml><?xml version="1.0" encoding="utf-8"?>
<sst xmlns="http://schemas.openxmlformats.org/spreadsheetml/2006/main" count="67" uniqueCount="28">
  <si>
    <t>BINOMIAL DISTRIBUTION</t>
  </si>
  <si>
    <t xml:space="preserve"> </t>
  </si>
  <si>
    <t>EXAMPLE-1</t>
  </si>
  <si>
    <t>BINOMIAL TRIALS</t>
  </si>
  <si>
    <t>DATA</t>
  </si>
  <si>
    <t>No .of trials</t>
  </si>
  <si>
    <t>Probaility Mass function</t>
  </si>
  <si>
    <t xml:space="preserve">Cummulative Distribution Function </t>
  </si>
  <si>
    <t>X</t>
  </si>
  <si>
    <t>P(X=x)</t>
  </si>
  <si>
    <t>P(X&lt;=x)</t>
  </si>
  <si>
    <t>Sample size(n) or TRIALS (n)</t>
  </si>
  <si>
    <t>Probability of event (p)</t>
  </si>
  <si>
    <t>Probability of failure (q) or (1-p)</t>
  </si>
  <si>
    <t>Statistics</t>
  </si>
  <si>
    <t>Mean  (np)</t>
  </si>
  <si>
    <t>Variance (np{1-p})</t>
  </si>
  <si>
    <t xml:space="preserve">Standard Variance </t>
  </si>
  <si>
    <t>EXAMPLE - 2</t>
  </si>
  <si>
    <t xml:space="preserve">BINOMIAL TRIALS </t>
  </si>
  <si>
    <t xml:space="preserve">Sample size (n) or TRIALS (n) </t>
  </si>
  <si>
    <t>Probability Mass function</t>
  </si>
  <si>
    <t>x</t>
  </si>
  <si>
    <t>EXAMPLE - 3</t>
  </si>
  <si>
    <t>EXAMPLE - 4</t>
  </si>
  <si>
    <t>Probability Mass functiaon</t>
  </si>
  <si>
    <t xml:space="preserve">Standard deviation </t>
  </si>
  <si>
    <t xml:space="preserve">Standard deviation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</si>
</sst>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2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/>
    <xf numFmtId="0" fontId="1" fillId="0" borderId="0" xfId="1"/>
    <xf numFmtId="0" fontId="3" fillId="2" borderId="0" xfId="1" applyFont="1" applyFill="1"/>
    <xf numFmtId="0" fontId="0" fillId="0" borderId="0" xfId="1" applyFont="1"/>
    <xf numFmtId="0" fontId="2" fillId="3" borderId="1" xfId="1" applyFont="1" applyFill="1" applyBorder="1"/>
    <xf numFmtId="0" fontId="2" fillId="0" borderId="1" xfId="1" applyFont="1" applyBorder="1"/>
    <xf numFmtId="0" fontId="1" fillId="4" borderId="0" xfId="1" applyFill="1"/>
    <xf numFmtId="0" fontId="2" fillId="5" borderId="1" xfId="1" applyFont="1" applyFill="1" applyBorder="1"/>
    <xf numFmtId="0" fontId="2" fillId="2" borderId="1" xfId="1" applyFont="1" applyFill="1" applyBorder="1"/>
    <xf numFmtId="0" fontId="2" fillId="6" borderId="1" xfId="1" applyFont="1" applyFill="1" applyBorder="1"/>
  </cellXfs>
  <cellStyles count="2">
    <cellStyle name="Normal" xfId="0" builtinId="0"/>
    <cellStyle name="Normal 2" xfId="1" xr:uid="{B17B55E4-219A-4813-8161-6E25490F67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rgbClr val="92D05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'Binomial Distribution'!$E$31:$E$32</c:f>
              <c:strCache>
                <c:ptCount val="2"/>
                <c:pt idx="0">
                  <c:v>Probability Mass function</c:v>
                </c:pt>
                <c:pt idx="1">
                  <c:v>P(X=x)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'Binomial Distribution'!$D$33:$D$38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'Binomial Distribution'!$E$33:$E$38</c:f>
              <c:numCache>
                <c:formatCode>General</c:formatCode>
                <c:ptCount val="6"/>
                <c:pt idx="0">
                  <c:v>0.18042293510000004</c:v>
                </c:pt>
                <c:pt idx="1">
                  <c:v>0.3684693745</c:v>
                </c:pt>
                <c:pt idx="2">
                  <c:v>0.30100315099999991</c:v>
                </c:pt>
                <c:pt idx="3">
                  <c:v>0.12294494899999997</c:v>
                </c:pt>
                <c:pt idx="4">
                  <c:v>2.5108475499999981E-2</c:v>
                </c:pt>
                <c:pt idx="5">
                  <c:v>2.0511148999999996E-3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27-49FA-8E50-A0E327B62E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878743760"/>
        <c:axId val="878735600"/>
      </c:barChart>
      <c:catAx>
        <c:axId val="878743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 .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735600"/>
        <c:crosses val="autoZero"/>
        <c:auto val="1"/>
        <c:lblAlgn val="ctr"/>
        <c:lblOffset val="100"/>
        <c:noMultiLvlLbl val="0"/>
      </c:catAx>
      <c:valAx>
        <c:axId val="87873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Probability Mass function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7437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rgbClr val="FFC000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8262452519994138"/>
          <c:y val="2.9902493815574784E-2"/>
        </c:manualLayout>
      </c:layout>
      <c:overlay val="0"/>
      <c:spPr>
        <a:solidFill>
          <a:schemeClr val="bg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'Binomial Distribution'!$F$31:$F$32</c:f>
              <c:strCache>
                <c:ptCount val="2"/>
                <c:pt idx="0">
                  <c:v>Cummulative Distribution Function </c:v>
                </c:pt>
                <c:pt idx="1">
                  <c:v>P(X&lt;=x)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'Binomial Distribution'!$F$33:$F$38</c:f>
              <c:numCache>
                <c:formatCode>General</c:formatCode>
                <c:ptCount val="6"/>
                <c:pt idx="0">
                  <c:v>0.18042293510000004</c:v>
                </c:pt>
                <c:pt idx="1">
                  <c:v>0.54889230960000002</c:v>
                </c:pt>
                <c:pt idx="2">
                  <c:v>0.84989546059999999</c:v>
                </c:pt>
                <c:pt idx="3">
                  <c:v>0.97284040960000007</c:v>
                </c:pt>
                <c:pt idx="4">
                  <c:v>0.99794888510000002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E6-4CCB-B3BD-4DBD6D078B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808977824"/>
        <c:axId val="808978784"/>
      </c:barChart>
      <c:catAx>
        <c:axId val="808977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No. of trials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978784"/>
        <c:crosses val="autoZero"/>
        <c:auto val="1"/>
        <c:lblAlgn val="ctr"/>
        <c:lblOffset val="100"/>
        <c:noMultiLvlLbl val="0"/>
      </c:catAx>
      <c:valAx>
        <c:axId val="80897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Cummulative Distribution Function </a:t>
                </a:r>
              </a:p>
            </c:rich>
          </c:tx>
          <c:layout>
            <c:manualLayout>
              <c:xMode val="edge"/>
              <c:yMode val="edge"/>
              <c:x val="1.2412233099751657E-2"/>
              <c:y val="8.628902558697389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97782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rgbClr val="FFFF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'Binomial Distribution'!$E$8:$E$9</c:f>
              <c:strCache>
                <c:ptCount val="2"/>
                <c:pt idx="0">
                  <c:v>Probaility Mass function</c:v>
                </c:pt>
                <c:pt idx="1">
                  <c:v>P(X=x)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'Binomial Distribution'!$D$10:$D$18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cat>
          <c:val>
            <c:numRef>
              <c:f>'Binomial Distribution'!$E$10:$E$18</c:f>
              <c:numCache>
                <c:formatCode>General</c:formatCode>
                <c:ptCount val="9"/>
                <c:pt idx="0">
                  <c:v>0.10011291503906253</c:v>
                </c:pt>
                <c:pt idx="1">
                  <c:v>0.26696777343750006</c:v>
                </c:pt>
                <c:pt idx="2">
                  <c:v>0.31146240234375</c:v>
                </c:pt>
                <c:pt idx="3">
                  <c:v>0.20764160156250003</c:v>
                </c:pt>
                <c:pt idx="4">
                  <c:v>8.6517333984375E-2</c:v>
                </c:pt>
                <c:pt idx="5">
                  <c:v>2.3071289062499986E-2</c:v>
                </c:pt>
                <c:pt idx="6">
                  <c:v>3.8452148437500017E-3</c:v>
                </c:pt>
                <c:pt idx="7">
                  <c:v>3.6621093749999978E-4</c:v>
                </c:pt>
                <c:pt idx="8">
                  <c:v>1.5258789062500007E-5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A-4074-BCBC-DFCBEF19EA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878744240"/>
        <c:axId val="878736560"/>
      </c:barChart>
      <c:catAx>
        <c:axId val="878744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</a:t>
                </a:r>
                <a:r>
                  <a:rPr lang="en-US" baseline="0"/>
                  <a:t> .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736560"/>
        <c:crosses val="autoZero"/>
        <c:auto val="1"/>
        <c:lblAlgn val="ctr"/>
        <c:lblOffset val="100"/>
        <c:noMultiLvlLbl val="0"/>
      </c:catAx>
      <c:valAx>
        <c:axId val="87873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Probaility Mass function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744240"/>
        <c:crosses val="autoZero"/>
        <c:crossBetween val="between"/>
      </c:valAx>
      <c:spPr>
        <a:noFill/>
        <a:ln>
          <a:solidFill>
            <a:schemeClr val="bg2"/>
          </a:solidFill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'Binomial Distribution'!$F$8:$F$9</c:f>
              <c:strCache>
                <c:ptCount val="2"/>
                <c:pt idx="0">
                  <c:v>Cummulative Distribution Function </c:v>
                </c:pt>
                <c:pt idx="1">
                  <c:v>P(X&lt;=x)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'Binomial Distribution'!$F$10:$F$18</c:f>
              <c:numCache>
                <c:formatCode>General</c:formatCode>
                <c:ptCount val="9"/>
                <c:pt idx="0">
                  <c:v>0.10011291503906253</c:v>
                </c:pt>
                <c:pt idx="1">
                  <c:v>0.3670806884765625</c:v>
                </c:pt>
                <c:pt idx="2">
                  <c:v>0.6785430908203125</c:v>
                </c:pt>
                <c:pt idx="3">
                  <c:v>0.8861846923828125</c:v>
                </c:pt>
                <c:pt idx="4">
                  <c:v>0.9727020263671875</c:v>
                </c:pt>
                <c:pt idx="5">
                  <c:v>0.9957733154296875</c:v>
                </c:pt>
                <c:pt idx="6">
                  <c:v>0.9996185302734375</c:v>
                </c:pt>
                <c:pt idx="7">
                  <c:v>0.9999847412109375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70-411B-B82B-8DB698891E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730213312"/>
        <c:axId val="730221472"/>
      </c:barChart>
      <c:catAx>
        <c:axId val="730213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NO.OF TRIALS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221472"/>
        <c:crosses val="autoZero"/>
        <c:auto val="1"/>
        <c:lblAlgn val="ctr"/>
        <c:lblOffset val="100"/>
        <c:noMultiLvlLbl val="0"/>
      </c:catAx>
      <c:valAx>
        <c:axId val="73022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Cummulative Distribution Function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213312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'Binomial Distribution'!$E$50:$E$51</c:f>
              <c:strCache>
                <c:ptCount val="2"/>
                <c:pt idx="0">
                  <c:v>Probability Mass function</c:v>
                </c:pt>
                <c:pt idx="1">
                  <c:v>P(X=x)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'Binomial Distribution'!$D$52:$D$62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'Binomial Distribution'!$E$52:$E$62</c:f>
              <c:numCache>
                <c:formatCode>General</c:formatCode>
                <c:ptCount val="11"/>
                <c:pt idx="0">
                  <c:v>5.6313514709472684E-2</c:v>
                </c:pt>
                <c:pt idx="1">
                  <c:v>0.18771171569824219</c:v>
                </c:pt>
                <c:pt idx="2">
                  <c:v>0.28156757354736339</c:v>
                </c:pt>
                <c:pt idx="3">
                  <c:v>0.25028228759765631</c:v>
                </c:pt>
                <c:pt idx="4">
                  <c:v>0.14599800109863281</c:v>
                </c:pt>
                <c:pt idx="5">
                  <c:v>5.8399200439453146E-2</c:v>
                </c:pt>
                <c:pt idx="6">
                  <c:v>1.6222000122070326E-2</c:v>
                </c:pt>
                <c:pt idx="7">
                  <c:v>3.0899047851562543E-3</c:v>
                </c:pt>
                <c:pt idx="8">
                  <c:v>3.862380981445312E-4</c:v>
                </c:pt>
                <c:pt idx="9">
                  <c:v>2.861022949218752E-5</c:v>
                </c:pt>
                <c:pt idx="10">
                  <c:v>9.5367431640625E-7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31-4C9A-BE3E-468263D98E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20702687"/>
        <c:axId val="720697887"/>
      </c:barChart>
      <c:catAx>
        <c:axId val="720702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NO.OF</a:t>
                </a:r>
                <a:r>
                  <a:rPr lang="en-US" baseline="0"/>
                  <a:t> TRIALS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697887"/>
        <c:crosses val="autoZero"/>
        <c:auto val="1"/>
        <c:lblAlgn val="ctr"/>
        <c:lblOffset val="100"/>
        <c:noMultiLvlLbl val="0"/>
      </c:catAx>
      <c:valAx>
        <c:axId val="72069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Probability Mass function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70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'Binomial Distribution'!$F$50:$F$51</c:f>
              <c:strCache>
                <c:ptCount val="2"/>
                <c:pt idx="0">
                  <c:v>Cummulative Distribution Function </c:v>
                </c:pt>
                <c:pt idx="1">
                  <c:v>P(X&lt;=x)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'Binomial Distribution'!$F$52:$F$62</c:f>
              <c:numCache>
                <c:formatCode>General</c:formatCode>
                <c:ptCount val="11"/>
                <c:pt idx="0">
                  <c:v>5.6313514709472684E-2</c:v>
                </c:pt>
                <c:pt idx="1">
                  <c:v>0.2440252304077149</c:v>
                </c:pt>
                <c:pt idx="2">
                  <c:v>0.52559280395507801</c:v>
                </c:pt>
                <c:pt idx="3">
                  <c:v>0.77587509155273438</c:v>
                </c:pt>
                <c:pt idx="4">
                  <c:v>0.92187309265136719</c:v>
                </c:pt>
                <c:pt idx="5">
                  <c:v>0.98027229309082031</c:v>
                </c:pt>
                <c:pt idx="6">
                  <c:v>0.99649429321289063</c:v>
                </c:pt>
                <c:pt idx="7">
                  <c:v>0.99958419799804688</c:v>
                </c:pt>
                <c:pt idx="8">
                  <c:v>0.99997043609619141</c:v>
                </c:pt>
                <c:pt idx="9">
                  <c:v>0.99999904632568359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A-4C79-A566-FDA8DF601B4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46162367"/>
        <c:axId val="846165727"/>
      </c:barChart>
      <c:catAx>
        <c:axId val="846162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 of trials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165727"/>
        <c:crosses val="autoZero"/>
        <c:auto val="1"/>
        <c:lblAlgn val="ctr"/>
        <c:lblOffset val="100"/>
        <c:noMultiLvlLbl val="0"/>
      </c:catAx>
      <c:valAx>
        <c:axId val="84616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cummulative distribution function 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111388888888888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162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'Binomial Distribution'!$E$83:$E$84</c:f>
              <c:strCache>
                <c:ptCount val="2"/>
                <c:pt idx="0">
                  <c:v>Probability Mass functiaon</c:v>
                </c:pt>
                <c:pt idx="1">
                  <c:v>P(X=x)</c:v>
                </c:pt>
              </c:strCache>
            </c:strRef>
          </c:tx>
          <c:spPr>
            <a:pattFill prst="ltUpDiag">
              <a:fgClr>
                <a:schemeClr val="accent6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70AD47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'Binomial Distribution'!$D$85:$D$92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'Binomial Distribution'!$E$85:$E$92</c:f>
              <c:numCache>
                <c:formatCode>General</c:formatCode>
                <c:ptCount val="8"/>
                <c:pt idx="0">
                  <c:v>2.494357887999996E-5</c:v>
                </c:pt>
                <c:pt idx="1">
                  <c:v>6.1905427583999956E-4</c:v>
                </c:pt>
                <c:pt idx="2">
                  <c:v>6.5844863884799952E-3</c:v>
                </c:pt>
                <c:pt idx="3">
                  <c:v>3.8908328659199971E-2</c:v>
                </c:pt>
                <c:pt idx="4">
                  <c:v>0.1379477107008</c:v>
                </c:pt>
                <c:pt idx="5">
                  <c:v>0.29345240276352003</c:v>
                </c:pt>
                <c:pt idx="6">
                  <c:v>0.34680738508416004</c:v>
                </c:pt>
                <c:pt idx="7">
                  <c:v>0.17565568854912003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6-4F02-B753-22AFC1030B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849718719"/>
        <c:axId val="849709119"/>
      </c:barChart>
      <c:catAx>
        <c:axId val="849718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No.of Trials</a:t>
                </a:r>
              </a:p>
            </c:rich>
          </c:tx>
          <c:layout>
            <c:manualLayout>
              <c:xMode val="edge"/>
              <c:yMode val="edge"/>
              <c:x val="0.38310293457941064"/>
              <c:y val="0.888958151064450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709119"/>
        <c:crosses val="autoZero"/>
        <c:auto val="1"/>
        <c:lblAlgn val="ctr"/>
        <c:lblOffset val="100"/>
        <c:noMultiLvlLbl val="0"/>
      </c:catAx>
      <c:valAx>
        <c:axId val="8497091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Probability Mass functiaon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71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6"/>
    </a:solidFill>
    <a:ln w="9525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'Binomial Distribution'!$F$83:$F$84</c:f>
              <c:strCache>
                <c:ptCount val="2"/>
                <c:pt idx="0">
                  <c:v>Cummulative Distribution Function </c:v>
                </c:pt>
                <c:pt idx="1">
                  <c:v>P(X&lt;=x)</c:v>
                </c:pt>
              </c:strCache>
            </c:strRef>
          </c:tx>
          <c:spPr>
            <a:pattFill prst="ltUpDiag">
              <a:fgClr>
                <a:schemeClr val="accent4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4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'Binomial Distribution'!$F$85:$F$92</c:f>
              <c:numCache>
                <c:formatCode>General</c:formatCode>
                <c:ptCount val="8"/>
                <c:pt idx="0">
                  <c:v>2.494357887999996E-5</c:v>
                </c:pt>
                <c:pt idx="1">
                  <c:v>6.4399785471999833E-4</c:v>
                </c:pt>
                <c:pt idx="2">
                  <c:v>7.2284842431999848E-3</c:v>
                </c:pt>
                <c:pt idx="3">
                  <c:v>4.6136812902399967E-2</c:v>
                </c:pt>
                <c:pt idx="4">
                  <c:v>0.18408452360319988</c:v>
                </c:pt>
                <c:pt idx="5">
                  <c:v>0.47753692636671996</c:v>
                </c:pt>
                <c:pt idx="6">
                  <c:v>0.82434431145087994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1A-49D4-8CBF-EF51828B60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783994271"/>
        <c:axId val="783994751"/>
      </c:barChart>
      <c:catAx>
        <c:axId val="783994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 of trials </a:t>
                </a:r>
              </a:p>
            </c:rich>
          </c:tx>
          <c:layout>
            <c:manualLayout>
              <c:xMode val="edge"/>
              <c:yMode val="edge"/>
              <c:x val="0.39252668416447939"/>
              <c:y val="0.875069262175561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994751"/>
        <c:crosses val="autoZero"/>
        <c:auto val="1"/>
        <c:lblAlgn val="ctr"/>
        <c:lblOffset val="100"/>
        <c:noMultiLvlLbl val="0"/>
      </c:catAx>
      <c:valAx>
        <c:axId val="7839947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CUMMULATIVE DISTRIBUTION  FUNCTION </a:t>
                </a:r>
              </a:p>
            </c:rich>
          </c:tx>
          <c:layout>
            <c:manualLayout>
              <c:xMode val="edge"/>
              <c:yMode val="edge"/>
              <c:x val="3.3333333333333333E-2"/>
              <c:y val="0.148425925925925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994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/>
    </a:solidFill>
    <a:ln w="9525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535449</xdr:colOff>
      <xdr:row>25</xdr:row>
      <xdr:rowOff>40582</xdr:rowOff>
    </xdr:from>
    <xdr:to>
      <xdr:col>12</xdr:col>
      <xdr:colOff>233060</xdr:colOff>
      <xdr:row>39</xdr:row>
      <xdr:rowOff>116782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074CA2-81B3-4B01-8F97-82C9DA87A5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8470</xdr:colOff>
      <xdr:row>25</xdr:row>
      <xdr:rowOff>60283</xdr:rowOff>
    </xdr:from>
    <xdr:to>
      <xdr:col>21</xdr:col>
      <xdr:colOff>2174727</xdr:colOff>
      <xdr:row>39</xdr:row>
      <xdr:rowOff>72190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733625-CC40-4E95-A3F2-BB925079EA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417458</xdr:colOff>
      <xdr:row>5</xdr:row>
      <xdr:rowOff>52608</xdr:rowOff>
    </xdr:from>
    <xdr:to>
      <xdr:col>12</xdr:col>
      <xdr:colOff>103809</xdr:colOff>
      <xdr:row>19</xdr:row>
      <xdr:rowOff>129310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2D0BBB-641A-4E99-B103-D084C5BBEA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22971</xdr:colOff>
      <xdr:row>4</xdr:row>
      <xdr:rowOff>167397</xdr:rowOff>
    </xdr:from>
    <xdr:to>
      <xdr:col>20</xdr:col>
      <xdr:colOff>348527</xdr:colOff>
      <xdr:row>19</xdr:row>
      <xdr:rowOff>68811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18A79A-430D-46C8-AA96-B69E6DED9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570722</xdr:colOff>
      <xdr:row>47</xdr:row>
      <xdr:rowOff>118028</xdr:rowOff>
    </xdr:from>
    <xdr:to>
      <xdr:col>12</xdr:col>
      <xdr:colOff>301537</xdr:colOff>
      <xdr:row>62</xdr:row>
      <xdr:rowOff>155873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0E8286B-A4E8-4E26-B3D7-90DC277969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15694</xdr:colOff>
      <xdr:row>47</xdr:row>
      <xdr:rowOff>141862</xdr:rowOff>
    </xdr:from>
    <xdr:to>
      <xdr:col>20</xdr:col>
      <xdr:colOff>324255</xdr:colOff>
      <xdr:row>62</xdr:row>
      <xdr:rowOff>55299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8F88DA8-ADFB-4352-B101-73F6391D19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385536</xdr:colOff>
      <xdr:row>74</xdr:row>
      <xdr:rowOff>153630</xdr:rowOff>
    </xdr:from>
    <xdr:to>
      <xdr:col>12</xdr:col>
      <xdr:colOff>215081</xdr:colOff>
      <xdr:row>92</xdr:row>
      <xdr:rowOff>71447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DE79F5A-7D96-4AE6-8B00-B4A0E4625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339480</xdr:colOff>
      <xdr:row>74</xdr:row>
      <xdr:rowOff>151534</xdr:rowOff>
    </xdr:from>
    <xdr:to>
      <xdr:col>20</xdr:col>
      <xdr:colOff>411307</xdr:colOff>
      <xdr:row>92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358AAFA-D902-4F06-8493-E024FF2500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DAD5B-5945-4458-9BB6-3B7A3E7E0F21}">
  <dimension ref="A1:AJ92"/>
  <sheetViews>
    <sheetView tabSelected="1" zoomScale="40" zoomScaleNormal="40" workbookViewId="0">
      <selection activeCell="M15" sqref="M15"/>
    </sheetView>
  </sheetViews>
  <sheetFormatPr defaultColWidth="9.1796875" defaultRowHeight="14.5" x14ac:dyDescent="0.35"/>
  <cols>
    <col min="1" max="1" width="43.7265625" style="2" customWidth="1"/>
    <col min="2" max="2" width="9.7265625" style="2" bestFit="1" customWidth="1"/>
    <col min="3" max="3" width="9.1796875" style="2"/>
    <col min="4" max="4" width="23.7265625" style="2" customWidth="1"/>
    <col min="5" max="5" width="34.54296875" style="2" customWidth="1"/>
    <col min="6" max="6" width="62" style="2" customWidth="1"/>
    <col min="7" max="7" width="17" style="2" customWidth="1"/>
    <col min="8" max="8" width="18.1796875" style="2" customWidth="1"/>
    <col min="9" max="9" width="9.1796875" style="2"/>
    <col min="10" max="10" width="18.54296875" style="2" customWidth="1"/>
    <col min="11" max="12" width="9.1796875" style="2"/>
    <col min="13" max="13" width="65.54296875" style="2" customWidth="1"/>
    <col min="14" max="21" width="9.1796875" style="2"/>
    <col min="22" max="22" width="47" style="2" customWidth="1"/>
    <col min="23" max="24" width="9.1796875" style="2"/>
    <col min="25" max="25" width="21.54296875" style="2" customWidth="1"/>
    <col min="26" max="26" width="27.54296875" style="2" customWidth="1"/>
    <col min="27" max="27" width="42.1796875" style="2" customWidth="1"/>
    <col min="28" max="28" width="27.81640625" style="2" customWidth="1"/>
    <col min="29" max="29" width="34.453125" style="2" customWidth="1"/>
    <col min="30" max="42" width="9.1796875" style="2"/>
    <col min="43" max="43" width="43.7265625" style="2" customWidth="1"/>
    <col min="44" max="44" width="13.54296875" style="2" customWidth="1"/>
    <col min="45" max="46" width="9.1796875" style="2"/>
    <col min="47" max="47" width="19" style="2" customWidth="1"/>
    <col min="48" max="48" width="32.453125" style="2" customWidth="1"/>
    <col min="49" max="49" width="45.1796875" style="2" customWidth="1"/>
    <col min="50" max="50" width="9.26953125" style="2" bestFit="1" customWidth="1"/>
    <col min="51" max="51" width="9.1796875" style="2"/>
    <col min="52" max="52" width="9.26953125" style="2" bestFit="1" customWidth="1"/>
    <col min="53" max="54" width="12" style="2" bestFit="1" customWidth="1"/>
    <col min="55" max="67" width="9.1796875" style="2"/>
    <col min="68" max="68" width="44" style="2" customWidth="1"/>
    <col min="69" max="70" width="9.1796875" style="2"/>
    <col min="71" max="71" width="21.26953125" style="2" customWidth="1"/>
    <col min="72" max="72" width="43.453125" style="2" customWidth="1"/>
    <col min="73" max="73" width="45.54296875" style="2" customWidth="1"/>
    <col min="74" max="16384" width="9.1796875" style="2"/>
  </cols>
  <sheetData>
    <row r="1" spans="1:29" x14ac:dyDescent="0.35">
      <c r="A1" s="1"/>
      <c r="H1" s="1"/>
      <c r="J1" s="1"/>
    </row>
    <row r="2" spans="1:29" ht="28.5" x14ac:dyDescent="0.65">
      <c r="A2" s="1"/>
      <c r="M2" s="3" t="s">
        <v>0</v>
      </c>
    </row>
    <row r="3" spans="1:29" x14ac:dyDescent="0.35">
      <c r="F3" s="1" t="s">
        <v>1</v>
      </c>
    </row>
    <row r="4" spans="1:29" x14ac:dyDescent="0.35">
      <c r="A4" s="1" t="s">
        <v>2</v>
      </c>
    </row>
    <row r="6" spans="1:29" x14ac:dyDescent="0.35">
      <c r="A6" s="1" t="s">
        <v>3</v>
      </c>
    </row>
    <row r="7" spans="1:29" x14ac:dyDescent="0.35">
      <c r="AB7" s="4"/>
      <c r="AC7" s="4"/>
    </row>
    <row r="8" spans="1:29" x14ac:dyDescent="0.35">
      <c r="A8" s="1" t="s">
        <v>4</v>
      </c>
      <c r="D8" s="5" t="s">
        <v>5</v>
      </c>
      <c r="E8" s="5" t="s">
        <v>6</v>
      </c>
      <c r="F8" s="5" t="s">
        <v>7</v>
      </c>
      <c r="AB8" s="4"/>
      <c r="AC8" s="4"/>
    </row>
    <row r="9" spans="1:29" x14ac:dyDescent="0.35">
      <c r="D9" s="5" t="s">
        <v>8</v>
      </c>
      <c r="E9" s="5" t="s">
        <v>9</v>
      </c>
      <c r="F9" s="5" t="s">
        <v>10</v>
      </c>
    </row>
    <row r="10" spans="1:29" x14ac:dyDescent="0.35">
      <c r="A10" s="1" t="s">
        <v>11</v>
      </c>
      <c r="B10" s="1">
        <v>8</v>
      </c>
      <c r="D10" s="6">
        <v>0</v>
      </c>
      <c r="E10" s="6">
        <f t="array" ref="E10">_xlfn.BINOM.DIST(D10,$B$10,$B$11,FALSE)</f>
        <v>0.10011291503906253</v>
      </c>
      <c r="F10" s="6">
        <f t="array" ref="F10">_xlfn.BINOM.DIST(D10,$B$10,$B$11,TRUE)</f>
        <v>0.10011291503906253</v>
      </c>
    </row>
    <row r="11" spans="1:29" x14ac:dyDescent="0.35">
      <c r="A11" s="1" t="s">
        <v>12</v>
      </c>
      <c r="B11" s="1">
        <v>0.25</v>
      </c>
      <c r="D11" s="6">
        <v>1</v>
      </c>
      <c r="E11" s="6">
        <f t="array" ref="E11">_xlfn.BINOM.DIST(D11,$B$10,$B$11,FALSE)</f>
        <v>0.26696777343750006</v>
      </c>
      <c r="F11" s="6">
        <f t="array" ref="F11">_xlfn.BINOM.DIST(D11,$B$10,$B$11,TRUE)</f>
        <v>0.3670806884765625</v>
      </c>
    </row>
    <row r="12" spans="1:29" x14ac:dyDescent="0.35">
      <c r="A12" s="1" t="s">
        <v>13</v>
      </c>
      <c r="B12" s="1">
        <f>1-B11</f>
        <v>0.75</v>
      </c>
      <c r="D12" s="6">
        <v>2</v>
      </c>
      <c r="E12" s="6">
        <f t="array" ref="E12">_xlfn.BINOM.DIST(D12,$B$10,$B$11,FALSE)</f>
        <v>0.31146240234375</v>
      </c>
      <c r="F12" s="6">
        <f t="array" ref="F12">_xlfn.BINOM.DIST(D12,$B$10,$B$11,TRUE)</f>
        <v>0.6785430908203125</v>
      </c>
    </row>
    <row r="13" spans="1:29" x14ac:dyDescent="0.35">
      <c r="B13" s="1"/>
      <c r="D13" s="6">
        <v>3</v>
      </c>
      <c r="E13" s="6">
        <f t="array" ref="E13">_xlfn.BINOM.DIST(D13,$B$10,$B$11,FALSE)</f>
        <v>0.20764160156250003</v>
      </c>
      <c r="F13" s="6">
        <f t="array" ref="F13">_xlfn.BINOM.DIST(D13,$B$10,$B$11,TRUE)</f>
        <v>0.8861846923828125</v>
      </c>
    </row>
    <row r="14" spans="1:29" x14ac:dyDescent="0.35">
      <c r="A14" s="1" t="s">
        <v>14</v>
      </c>
      <c r="B14" s="1"/>
      <c r="D14" s="6">
        <v>4</v>
      </c>
      <c r="E14" s="6">
        <f t="array" ref="E14">_xlfn.BINOM.DIST(D14,$B$10,$B$11,FALSE)</f>
        <v>8.6517333984375E-2</v>
      </c>
      <c r="F14" s="6">
        <f t="array" ref="F14">_xlfn.BINOM.DIST(D14,$B$10,$B$11,TRUE)</f>
        <v>0.9727020263671875</v>
      </c>
    </row>
    <row r="15" spans="1:29" x14ac:dyDescent="0.35">
      <c r="A15" s="1"/>
      <c r="B15" s="1"/>
      <c r="C15" s="2" t="s">
        <v>1</v>
      </c>
      <c r="D15" s="6">
        <v>5</v>
      </c>
      <c r="E15" s="6">
        <f t="array" ref="E15">_xlfn.BINOM.DIST(D15,$B$10,$B$11,FALSE)</f>
        <v>2.3071289062499986E-2</v>
      </c>
      <c r="F15" s="6">
        <f t="array" ref="F15">_xlfn.BINOM.DIST(D15,$B$10,$B$11,TRUE)</f>
        <v>0.9957733154296875</v>
      </c>
    </row>
    <row r="16" spans="1:29" x14ac:dyDescent="0.35">
      <c r="A16" s="1" t="s">
        <v>15</v>
      </c>
      <c r="B16" s="1">
        <f>B10*B11</f>
        <v>2</v>
      </c>
      <c r="D16" s="6">
        <v>6</v>
      </c>
      <c r="E16" s="6">
        <f t="array" ref="E16">_xlfn.BINOM.DIST(D16,$B$10,$B$11,FALSE)</f>
        <v>3.8452148437500017E-3</v>
      </c>
      <c r="F16" s="6">
        <f t="array" ref="F16">_xlfn.BINOM.DIST(D16,$B$10,$B$11,TRUE)</f>
        <v>0.9996185302734375</v>
      </c>
    </row>
    <row r="17" spans="1:36" x14ac:dyDescent="0.35">
      <c r="A17" s="1" t="s">
        <v>16</v>
      </c>
      <c r="B17" s="1">
        <f>B10*B11*(1-B11)</f>
        <v>1.5</v>
      </c>
      <c r="D17" s="6">
        <v>7</v>
      </c>
      <c r="E17" s="6">
        <f t="array" ref="E17">_xlfn.BINOM.DIST(D17,$B$10,$B$11,FALSE)</f>
        <v>3.6621093749999978E-4</v>
      </c>
      <c r="F17" s="6">
        <f t="array" ref="F17">_xlfn.BINOM.DIST(D17,$B$10,$B$11,TRUE)</f>
        <v>0.9999847412109375</v>
      </c>
    </row>
    <row r="18" spans="1:36" x14ac:dyDescent="0.35">
      <c r="A18" s="1" t="s">
        <v>26</v>
      </c>
      <c r="B18" s="1">
        <f>SQRT(B17)</f>
        <v>1.2247448713915889</v>
      </c>
      <c r="D18" s="6">
        <v>8</v>
      </c>
      <c r="E18" s="6">
        <f t="array" ref="E18">_xlfn.BINOM.DIST(D18,$B$10,$B$11,FALSE)</f>
        <v>1.5258789062500007E-5</v>
      </c>
      <c r="F18" s="6">
        <f t="array" ref="F18">_xlfn.BINOM.DIST(D18,$B$10,$B$11,TRUE)</f>
        <v>1</v>
      </c>
    </row>
    <row r="23" spans="1:36" x14ac:dyDescent="0.35">
      <c r="A23" s="1" t="s">
        <v>18</v>
      </c>
    </row>
    <row r="24" spans="1:36" x14ac:dyDescent="0.35">
      <c r="AJ24" s="7"/>
    </row>
    <row r="25" spans="1:36" x14ac:dyDescent="0.35">
      <c r="A25" s="1" t="s">
        <v>19</v>
      </c>
    </row>
    <row r="27" spans="1:36" x14ac:dyDescent="0.35">
      <c r="A27" s="1" t="s">
        <v>4</v>
      </c>
    </row>
    <row r="29" spans="1:36" x14ac:dyDescent="0.35">
      <c r="A29" s="1" t="s">
        <v>20</v>
      </c>
      <c r="B29" s="1">
        <v>5</v>
      </c>
    </row>
    <row r="30" spans="1:36" x14ac:dyDescent="0.35">
      <c r="A30" s="1" t="s">
        <v>12</v>
      </c>
      <c r="B30" s="1">
        <v>0.28999999999999998</v>
      </c>
    </row>
    <row r="31" spans="1:36" x14ac:dyDescent="0.35">
      <c r="A31" s="1" t="s">
        <v>13</v>
      </c>
      <c r="B31" s="1">
        <f>1-B30</f>
        <v>0.71</v>
      </c>
      <c r="D31" s="8" t="s">
        <v>5</v>
      </c>
      <c r="E31" s="8" t="s">
        <v>21</v>
      </c>
      <c r="F31" s="8" t="s">
        <v>7</v>
      </c>
    </row>
    <row r="32" spans="1:36" x14ac:dyDescent="0.35">
      <c r="B32" s="1"/>
      <c r="D32" s="8" t="s">
        <v>22</v>
      </c>
      <c r="E32" s="8" t="s">
        <v>9</v>
      </c>
      <c r="F32" s="8" t="s">
        <v>10</v>
      </c>
    </row>
    <row r="33" spans="1:6" x14ac:dyDescent="0.35">
      <c r="A33" s="1" t="s">
        <v>14</v>
      </c>
      <c r="B33" s="1"/>
      <c r="D33" s="6">
        <v>0</v>
      </c>
      <c r="E33" s="6">
        <f>_xlfn.BINOM.DIST(D33,$B$29,$B$30,FALSE)</f>
        <v>0.18042293510000004</v>
      </c>
      <c r="F33" s="6">
        <f t="shared" ref="F33:F38" si="0">_xlfn.BINOM.DIST(D33,$B$29,$B$30,TRUE)</f>
        <v>0.18042293510000004</v>
      </c>
    </row>
    <row r="34" spans="1:6" x14ac:dyDescent="0.35">
      <c r="B34" s="1"/>
      <c r="D34" s="6">
        <v>1</v>
      </c>
      <c r="E34" s="6">
        <f t="array" ref="E34">_xlfn.BINOM.DIST(D34,$B$29,$B$30,FALSE)</f>
        <v>0.3684693745</v>
      </c>
      <c r="F34" s="6">
        <f t="shared" si="0"/>
        <v>0.54889230960000002</v>
      </c>
    </row>
    <row r="35" spans="1:6" x14ac:dyDescent="0.35">
      <c r="A35" s="1" t="s">
        <v>15</v>
      </c>
      <c r="B35" s="1">
        <f>B29*B30</f>
        <v>1.45</v>
      </c>
      <c r="D35" s="6">
        <v>2</v>
      </c>
      <c r="E35" s="6">
        <f t="array" ref="E35">_xlfn.BINOM.DIST(D35,$B$29,$B$30,FALSE)</f>
        <v>0.30100315099999991</v>
      </c>
      <c r="F35" s="6">
        <f t="shared" si="0"/>
        <v>0.84989546059999999</v>
      </c>
    </row>
    <row r="36" spans="1:6" x14ac:dyDescent="0.35">
      <c r="A36" s="1" t="s">
        <v>16</v>
      </c>
      <c r="B36" s="1">
        <f>B29*B30*(1-B30)</f>
        <v>1.0294999999999999</v>
      </c>
      <c r="D36" s="6">
        <v>3</v>
      </c>
      <c r="E36" s="6">
        <f t="array" ref="E36">_xlfn.BINOM.DIST(D36,$B$29,$B$30,FALSE)</f>
        <v>0.12294494899999997</v>
      </c>
      <c r="F36" s="6">
        <f t="shared" si="0"/>
        <v>0.97284040960000007</v>
      </c>
    </row>
    <row r="37" spans="1:6" x14ac:dyDescent="0.35">
      <c r="A37" s="1" t="s">
        <v>27</v>
      </c>
      <c r="B37" s="1">
        <f>SQRT(B36)</f>
        <v>1.0146427942877236</v>
      </c>
      <c r="D37" s="6">
        <v>4</v>
      </c>
      <c r="E37" s="6">
        <f t="array" ref="E37">_xlfn.BINOM.DIST(D37,$B$29,$B$30,FALSE)</f>
        <v>2.5108475499999981E-2</v>
      </c>
      <c r="F37" s="6">
        <f t="shared" si="0"/>
        <v>0.99794888510000002</v>
      </c>
    </row>
    <row r="38" spans="1:6" x14ac:dyDescent="0.35">
      <c r="D38" s="6">
        <v>5</v>
      </c>
      <c r="E38" s="6">
        <f t="array" ref="E38">_xlfn.BINOM.DIST(D38,$B$29,$B$30,FALSE)</f>
        <v>2.0511148999999996E-3</v>
      </c>
      <c r="F38" s="6">
        <f t="shared" si="0"/>
        <v>1</v>
      </c>
    </row>
    <row r="48" spans="1:6" x14ac:dyDescent="0.35">
      <c r="A48" s="1" t="s">
        <v>23</v>
      </c>
    </row>
    <row r="50" spans="1:6" x14ac:dyDescent="0.35">
      <c r="A50" s="1" t="s">
        <v>19</v>
      </c>
      <c r="D50" s="9" t="s">
        <v>5</v>
      </c>
      <c r="E50" s="9" t="s">
        <v>21</v>
      </c>
      <c r="F50" s="9" t="s">
        <v>7</v>
      </c>
    </row>
    <row r="51" spans="1:6" x14ac:dyDescent="0.35">
      <c r="D51" s="9" t="s">
        <v>22</v>
      </c>
      <c r="E51" s="9" t="s">
        <v>9</v>
      </c>
      <c r="F51" s="9" t="s">
        <v>10</v>
      </c>
    </row>
    <row r="52" spans="1:6" x14ac:dyDescent="0.35">
      <c r="A52" s="1" t="s">
        <v>4</v>
      </c>
      <c r="D52" s="6">
        <v>0</v>
      </c>
      <c r="E52" s="6">
        <f t="array" ref="E52">_xlfn.BINOM.DIST(D52,$B$54,$B$55,FALSE)</f>
        <v>5.6313514709472684E-2</v>
      </c>
      <c r="F52" s="6">
        <f>_xlfn.BINOM.DIST(D52,$B$54,$B$55,TRUE)</f>
        <v>5.6313514709472684E-2</v>
      </c>
    </row>
    <row r="53" spans="1:6" x14ac:dyDescent="0.35">
      <c r="D53" s="6">
        <v>1</v>
      </c>
      <c r="E53" s="6">
        <f>_xlfn.BINOM.DIST(D53,$B$54,$B$55,FALSE)</f>
        <v>0.18771171569824219</v>
      </c>
      <c r="F53" s="6">
        <f t="array" ref="F53">_xlfn.BINOM.DIST(D53,$B$54,$B$55,TRUE)</f>
        <v>0.2440252304077149</v>
      </c>
    </row>
    <row r="54" spans="1:6" x14ac:dyDescent="0.35">
      <c r="A54" s="1" t="s">
        <v>20</v>
      </c>
      <c r="B54" s="1">
        <v>10</v>
      </c>
      <c r="D54" s="6">
        <v>2</v>
      </c>
      <c r="E54" s="6">
        <f t="array" ref="E54">_xlfn.BINOM.DIST(D54,$B$54,$B$55,FALSE)</f>
        <v>0.28156757354736339</v>
      </c>
      <c r="F54" s="6">
        <f t="array" ref="F54">_xlfn.BINOM.DIST(D54,$B$54,$B$55,TRUE)</f>
        <v>0.52559280395507801</v>
      </c>
    </row>
    <row r="55" spans="1:6" x14ac:dyDescent="0.35">
      <c r="A55" s="1" t="s">
        <v>12</v>
      </c>
      <c r="B55" s="1">
        <v>0.25</v>
      </c>
      <c r="D55" s="6">
        <v>3</v>
      </c>
      <c r="E55" s="6">
        <f t="array" ref="E55">_xlfn.BINOM.DIST(D55,$B$54,$B$55,FALSE)</f>
        <v>0.25028228759765631</v>
      </c>
      <c r="F55" s="6">
        <f t="array" ref="F55">_xlfn.BINOM.DIST(D55,$B$54,$B$55,TRUE)</f>
        <v>0.77587509155273438</v>
      </c>
    </row>
    <row r="56" spans="1:6" x14ac:dyDescent="0.35">
      <c r="A56" s="1" t="s">
        <v>13</v>
      </c>
      <c r="B56" s="1">
        <f>1-B55</f>
        <v>0.75</v>
      </c>
      <c r="D56" s="6">
        <v>4</v>
      </c>
      <c r="E56" s="6">
        <f t="array" ref="E56">_xlfn.BINOM.DIST(D56,$B$54,$B$55,FALSE)</f>
        <v>0.14599800109863281</v>
      </c>
      <c r="F56" s="6">
        <f t="array" ref="F56">_xlfn.BINOM.DIST(D56,$B$54,$B$55,TRUE)</f>
        <v>0.92187309265136719</v>
      </c>
    </row>
    <row r="57" spans="1:6" x14ac:dyDescent="0.35">
      <c r="B57" s="1"/>
      <c r="D57" s="6">
        <v>5</v>
      </c>
      <c r="E57" s="6">
        <f t="array" ref="E57">_xlfn.BINOM.DIST(D57,$B$54,$B$55,FALSE)</f>
        <v>5.8399200439453146E-2</v>
      </c>
      <c r="F57" s="6">
        <f t="array" ref="F57">_xlfn.BINOM.DIST(D57,$B$54,$B$55,TRUE)</f>
        <v>0.98027229309082031</v>
      </c>
    </row>
    <row r="58" spans="1:6" x14ac:dyDescent="0.35">
      <c r="A58" s="1" t="s">
        <v>14</v>
      </c>
      <c r="B58" s="1"/>
      <c r="D58" s="6">
        <v>6</v>
      </c>
      <c r="E58" s="6">
        <f t="array" ref="E58">_xlfn.BINOM.DIST(D58,$B$54,$B$55,FALSE)</f>
        <v>1.6222000122070326E-2</v>
      </c>
      <c r="F58" s="6">
        <f t="array" ref="F58">_xlfn.BINOM.DIST(D58,$B$54,$B$55,TRUE)</f>
        <v>0.99649429321289063</v>
      </c>
    </row>
    <row r="59" spans="1:6" x14ac:dyDescent="0.35">
      <c r="B59" s="1"/>
      <c r="D59" s="6">
        <v>7</v>
      </c>
      <c r="E59" s="6">
        <f t="array" ref="E59">_xlfn.BINOM.DIST(D59,$B$54,$B$55,FALSE)</f>
        <v>3.0899047851562543E-3</v>
      </c>
      <c r="F59" s="6">
        <f t="array" ref="F59">_xlfn.BINOM.DIST(D59,$B$54,$B$55,TRUE)</f>
        <v>0.99958419799804688</v>
      </c>
    </row>
    <row r="60" spans="1:6" x14ac:dyDescent="0.35">
      <c r="A60" s="1" t="s">
        <v>15</v>
      </c>
      <c r="B60" s="1">
        <f>B54*B55</f>
        <v>2.5</v>
      </c>
      <c r="D60" s="6">
        <v>8</v>
      </c>
      <c r="E60" s="6">
        <f t="array" ref="E60">_xlfn.BINOM.DIST(D60,$B$54,$B$55,FALSE)</f>
        <v>3.862380981445312E-4</v>
      </c>
      <c r="F60" s="6">
        <f t="array" ref="F60">_xlfn.BINOM.DIST(D60,$B$54,$B$55,TRUE)</f>
        <v>0.99997043609619141</v>
      </c>
    </row>
    <row r="61" spans="1:6" x14ac:dyDescent="0.35">
      <c r="A61" s="1" t="s">
        <v>16</v>
      </c>
      <c r="B61" s="1">
        <f>B54*B55*(1-B55)</f>
        <v>1.875</v>
      </c>
      <c r="D61" s="6">
        <v>9</v>
      </c>
      <c r="E61" s="6">
        <f t="array" ref="E61">_xlfn.BINOM.DIST(D61,$B$54,$B$55,FALSE)</f>
        <v>2.861022949218752E-5</v>
      </c>
      <c r="F61" s="6">
        <f t="array" ref="F61">_xlfn.BINOM.DIST(D61,$B$54,$B$55,TRUE)</f>
        <v>0.99999904632568359</v>
      </c>
    </row>
    <row r="62" spans="1:6" x14ac:dyDescent="0.35">
      <c r="A62" s="1" t="s">
        <v>17</v>
      </c>
      <c r="B62" s="1">
        <f>SQRT(B61)</f>
        <v>1.3693063937629153</v>
      </c>
      <c r="D62" s="6">
        <v>10</v>
      </c>
      <c r="E62" s="6">
        <f>_xlfn.BINOM.DIST(D62,$B$54,$B$55,FALSE)</f>
        <v>9.5367431640625E-7</v>
      </c>
      <c r="F62" s="6">
        <f t="array" ref="F62">_xlfn.BINOM.DIST(D62,$B$54,$B$55,TRUE)</f>
        <v>1</v>
      </c>
    </row>
    <row r="78" spans="1:1" x14ac:dyDescent="0.35">
      <c r="A78" s="1" t="s">
        <v>24</v>
      </c>
    </row>
    <row r="80" spans="1:1" x14ac:dyDescent="0.35">
      <c r="A80" s="1" t="s">
        <v>19</v>
      </c>
    </row>
    <row r="82" spans="1:6" x14ac:dyDescent="0.35">
      <c r="A82" s="1" t="s">
        <v>4</v>
      </c>
    </row>
    <row r="83" spans="1:6" x14ac:dyDescent="0.35">
      <c r="D83" s="10" t="s">
        <v>5</v>
      </c>
      <c r="E83" s="10" t="s">
        <v>25</v>
      </c>
      <c r="F83" s="10" t="s">
        <v>7</v>
      </c>
    </row>
    <row r="84" spans="1:6" x14ac:dyDescent="0.35">
      <c r="A84" s="1" t="s">
        <v>20</v>
      </c>
      <c r="B84" s="1">
        <v>7</v>
      </c>
      <c r="D84" s="10" t="s">
        <v>22</v>
      </c>
      <c r="E84" s="10" t="s">
        <v>9</v>
      </c>
      <c r="F84" s="10" t="s">
        <v>10</v>
      </c>
    </row>
    <row r="85" spans="1:6" x14ac:dyDescent="0.35">
      <c r="A85" s="1" t="s">
        <v>12</v>
      </c>
      <c r="B85" s="1">
        <v>0.78</v>
      </c>
      <c r="D85" s="6">
        <v>0</v>
      </c>
      <c r="E85" s="6">
        <f t="array" ref="E85">_xlfn.BINOM.DIST(D85,$B$84,$B$85,FALSE)</f>
        <v>2.494357887999996E-5</v>
      </c>
      <c r="F85" s="6">
        <f t="array" ref="F85">_xlfn.BINOM.DIST(D85,$B$84,$B$85,TRUE)</f>
        <v>2.494357887999996E-5</v>
      </c>
    </row>
    <row r="86" spans="1:6" x14ac:dyDescent="0.35">
      <c r="A86" s="1" t="s">
        <v>13</v>
      </c>
      <c r="B86" s="1">
        <f>1-B85</f>
        <v>0.21999999999999997</v>
      </c>
      <c r="D86" s="6">
        <v>1</v>
      </c>
      <c r="E86" s="6">
        <f t="array" ref="E86">_xlfn.BINOM.DIST(D86,$B$84,$B$85,FALSE)</f>
        <v>6.1905427583999956E-4</v>
      </c>
      <c r="F86" s="6">
        <f t="array" ref="F86">_xlfn.BINOM.DIST(D86,$B$84,$B$85,TRUE)</f>
        <v>6.4399785471999833E-4</v>
      </c>
    </row>
    <row r="87" spans="1:6" x14ac:dyDescent="0.35">
      <c r="B87" s="1"/>
      <c r="D87" s="6">
        <v>2</v>
      </c>
      <c r="E87" s="6">
        <f t="array" ref="E87">_xlfn.BINOM.DIST(D87,$B$84,$B$85,FALSE)</f>
        <v>6.5844863884799952E-3</v>
      </c>
      <c r="F87" s="6">
        <f t="array" ref="F87">_xlfn.BINOM.DIST(D87,$B$84,$B$85,TRUE)</f>
        <v>7.2284842431999848E-3</v>
      </c>
    </row>
    <row r="88" spans="1:6" x14ac:dyDescent="0.35">
      <c r="A88" s="1" t="s">
        <v>14</v>
      </c>
      <c r="B88" s="1"/>
      <c r="D88" s="6">
        <v>3</v>
      </c>
      <c r="E88" s="6">
        <f t="array" ref="E88">_xlfn.BINOM.DIST(D88,$B$84,$B$85,FALSE)</f>
        <v>3.8908328659199971E-2</v>
      </c>
      <c r="F88" s="6">
        <f t="array" ref="F88">_xlfn.BINOM.DIST(D88,$B$84,$B$85,TRUE)</f>
        <v>4.6136812902399967E-2</v>
      </c>
    </row>
    <row r="89" spans="1:6" x14ac:dyDescent="0.35">
      <c r="B89" s="1"/>
      <c r="D89" s="6">
        <v>4</v>
      </c>
      <c r="E89" s="6">
        <f t="array" ref="E89">_xlfn.BINOM.DIST(D89,$B$84,$B$85,FALSE)</f>
        <v>0.1379477107008</v>
      </c>
      <c r="F89" s="6">
        <f t="array" ref="F89">_xlfn.BINOM.DIST(D89,$B$84,$B$85,TRUE)</f>
        <v>0.18408452360319988</v>
      </c>
    </row>
    <row r="90" spans="1:6" x14ac:dyDescent="0.35">
      <c r="A90" s="1" t="s">
        <v>15</v>
      </c>
      <c r="B90" s="1">
        <f>B84*B85</f>
        <v>5.46</v>
      </c>
      <c r="D90" s="6">
        <v>5</v>
      </c>
      <c r="E90" s="6">
        <f t="array" ref="E90">_xlfn.BINOM.DIST(D90,$B$84,$B$85,FALSE)</f>
        <v>0.29345240276352003</v>
      </c>
      <c r="F90" s="6">
        <f t="array" ref="F90">_xlfn.BINOM.DIST(D90,$B$84,$B$85,TRUE)</f>
        <v>0.47753692636671996</v>
      </c>
    </row>
    <row r="91" spans="1:6" x14ac:dyDescent="0.35">
      <c r="A91" s="1" t="s">
        <v>16</v>
      </c>
      <c r="B91" s="1">
        <f>B84*B85*(1-B85)</f>
        <v>1.2011999999999998</v>
      </c>
      <c r="D91" s="6">
        <v>6</v>
      </c>
      <c r="E91" s="6">
        <f t="array" ref="E91">_xlfn.BINOM.DIST(D91,$B$84,$B$85,FALSE)</f>
        <v>0.34680738508416004</v>
      </c>
      <c r="F91" s="6">
        <f t="array" ref="F91">_xlfn.BINOM.DIST(D91,$B$84,$B$85,TRUE)</f>
        <v>0.82434431145087994</v>
      </c>
    </row>
    <row r="92" spans="1:6" x14ac:dyDescent="0.35">
      <c r="A92" s="1" t="s">
        <v>17</v>
      </c>
      <c r="B92" s="1">
        <f>SQRT(B91)</f>
        <v>1.0959927007056205</v>
      </c>
      <c r="D92" s="6">
        <v>7</v>
      </c>
      <c r="E92" s="6">
        <f t="array" ref="E92">_xlfn.BINOM.DIST(D92,$B$84,$B$85,FALSE)</f>
        <v>0.17565568854912003</v>
      </c>
      <c r="F92" s="6">
        <f t="array" ref="F92">_xlfn.BINOM.DIST(D92,$B$84,$B$85,TRUE)</f>
        <v>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Binomial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Kasim Khan</dc:creator>
  <cp:lastModifiedBy>Ibrahim Khan</cp:lastModifiedBy>
  <dcterms:created xsi:type="dcterms:W3CDTF">2025-10-05T18:30:11Z</dcterms:created>
  <dcterms:modified xsi:type="dcterms:W3CDTF">2025-11-27T06:09:03Z</dcterms:modified>
</cp:coreProperties>
</file>