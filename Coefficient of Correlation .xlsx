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rahim\OneDrive\Desktop\kasim probab and stats\"/>
    </mc:Choice>
  </mc:AlternateContent>
  <xr:revisionPtr revIDLastSave="0" documentId="13_ncr:1_{213942FB-47D4-43A8-9794-2DB08439E5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2" i="1" l="1"/>
  <c r="B129" i="1" s="1"/>
  <c r="B121" i="1"/>
  <c r="F104" i="1" s="1"/>
  <c r="A117" i="1"/>
  <c r="B117" i="1"/>
  <c r="G70" i="1"/>
  <c r="F70" i="1"/>
  <c r="E104" i="1"/>
  <c r="D104" i="1"/>
  <c r="C104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K89" i="1"/>
  <c r="B87" i="1"/>
  <c r="F73" i="1" s="1"/>
  <c r="A83" i="1"/>
  <c r="B83" i="1"/>
  <c r="C70" i="1"/>
  <c r="C71" i="1"/>
  <c r="C72" i="1"/>
  <c r="C73" i="1"/>
  <c r="C74" i="1"/>
  <c r="C75" i="1"/>
  <c r="C76" i="1"/>
  <c r="C77" i="1"/>
  <c r="C78" i="1"/>
  <c r="C79" i="1"/>
  <c r="C80" i="1"/>
  <c r="C81" i="1"/>
  <c r="E57" i="1"/>
  <c r="G37" i="1"/>
  <c r="F37" i="1"/>
  <c r="B62" i="1"/>
  <c r="B88" i="1"/>
  <c r="B94" i="1" s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F112" i="1" l="1"/>
  <c r="F111" i="1"/>
  <c r="B123" i="1"/>
  <c r="F108" i="1"/>
  <c r="F115" i="1"/>
  <c r="B126" i="1"/>
  <c r="F106" i="1"/>
  <c r="F107" i="1"/>
  <c r="B127" i="1"/>
  <c r="F114" i="1"/>
  <c r="F110" i="1"/>
  <c r="F105" i="1"/>
  <c r="C117" i="1"/>
  <c r="F113" i="1"/>
  <c r="F109" i="1"/>
  <c r="G107" i="1"/>
  <c r="H107" i="1" s="1"/>
  <c r="D117" i="1"/>
  <c r="B125" i="1"/>
  <c r="E121" i="1" s="1"/>
  <c r="G115" i="1"/>
  <c r="G111" i="1"/>
  <c r="G114" i="1"/>
  <c r="G110" i="1"/>
  <c r="G106" i="1"/>
  <c r="G105" i="1"/>
  <c r="G113" i="1"/>
  <c r="G109" i="1"/>
  <c r="E117" i="1"/>
  <c r="B124" i="1"/>
  <c r="E122" i="1" s="1"/>
  <c r="E127" i="1" s="1"/>
  <c r="B128" i="1"/>
  <c r="G112" i="1"/>
  <c r="G108" i="1"/>
  <c r="G104" i="1"/>
  <c r="H104" i="1" s="1"/>
  <c r="B89" i="1"/>
  <c r="C83" i="1"/>
  <c r="G73" i="1"/>
  <c r="G80" i="1"/>
  <c r="G72" i="1"/>
  <c r="G77" i="1"/>
  <c r="B95" i="1"/>
  <c r="G81" i="1"/>
  <c r="G76" i="1"/>
  <c r="G79" i="1"/>
  <c r="G75" i="1"/>
  <c r="G71" i="1"/>
  <c r="G78" i="1"/>
  <c r="G74" i="1"/>
  <c r="B91" i="1"/>
  <c r="E87" i="1" s="1"/>
  <c r="F80" i="1"/>
  <c r="B93" i="1"/>
  <c r="F76" i="1"/>
  <c r="F72" i="1"/>
  <c r="F79" i="1"/>
  <c r="F75" i="1"/>
  <c r="F71" i="1"/>
  <c r="F78" i="1"/>
  <c r="F74" i="1"/>
  <c r="B92" i="1"/>
  <c r="E86" i="1" s="1"/>
  <c r="F81" i="1"/>
  <c r="F77" i="1"/>
  <c r="D83" i="1"/>
  <c r="B90" i="1"/>
  <c r="E88" i="1" s="1"/>
  <c r="E93" i="1" s="1"/>
  <c r="E83" i="1"/>
  <c r="H105" i="1" l="1"/>
  <c r="H111" i="1"/>
  <c r="H112" i="1"/>
  <c r="E120" i="1"/>
  <c r="E126" i="1" s="1"/>
  <c r="K123" i="1" s="1"/>
  <c r="H108" i="1"/>
  <c r="H106" i="1"/>
  <c r="H115" i="1"/>
  <c r="H113" i="1"/>
  <c r="H114" i="1"/>
  <c r="H109" i="1"/>
  <c r="H110" i="1"/>
  <c r="H70" i="1"/>
  <c r="E92" i="1"/>
  <c r="E89" i="1"/>
  <c r="E90" i="1" s="1"/>
  <c r="E123" i="1" l="1"/>
  <c r="E124" i="1" s="1"/>
  <c r="H117" i="1"/>
  <c r="K24" i="1" l="1"/>
  <c r="E25" i="1"/>
  <c r="E23" i="1"/>
  <c r="E28" i="1" s="1"/>
  <c r="B55" i="1"/>
  <c r="B54" i="1"/>
  <c r="E27" i="1"/>
  <c r="E22" i="1"/>
  <c r="E21" i="1"/>
  <c r="H5" i="1"/>
  <c r="G5" i="1"/>
  <c r="F5" i="1"/>
  <c r="E37" i="1"/>
  <c r="C37" i="1"/>
  <c r="B50" i="1"/>
  <c r="A50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D37" i="1"/>
  <c r="E18" i="1"/>
  <c r="H18" i="1"/>
  <c r="B28" i="1"/>
  <c r="B25" i="1"/>
  <c r="D18" i="1"/>
  <c r="B24" i="1"/>
  <c r="F6" i="1"/>
  <c r="F7" i="1"/>
  <c r="F8" i="1"/>
  <c r="F9" i="1"/>
  <c r="F10" i="1"/>
  <c r="F11" i="1"/>
  <c r="F12" i="1"/>
  <c r="F13" i="1"/>
  <c r="F14" i="1"/>
  <c r="F15" i="1"/>
  <c r="F16" i="1"/>
  <c r="F43" i="1" l="1"/>
  <c r="B60" i="1"/>
  <c r="B57" i="1"/>
  <c r="E55" i="1" s="1"/>
  <c r="E60" i="1" s="1"/>
  <c r="B61" i="1"/>
  <c r="F38" i="1"/>
  <c r="B58" i="1"/>
  <c r="E54" i="1" s="1"/>
  <c r="F46" i="1"/>
  <c r="F45" i="1"/>
  <c r="F40" i="1"/>
  <c r="B59" i="1"/>
  <c r="B56" i="1"/>
  <c r="F44" i="1"/>
  <c r="F48" i="1"/>
  <c r="F41" i="1"/>
  <c r="F47" i="1"/>
  <c r="F42" i="1"/>
  <c r="H73" i="1"/>
  <c r="H79" i="1"/>
  <c r="G48" i="1"/>
  <c r="G39" i="1"/>
  <c r="G47" i="1"/>
  <c r="G43" i="1"/>
  <c r="H43" i="1" s="1"/>
  <c r="G46" i="1"/>
  <c r="G42" i="1"/>
  <c r="G41" i="1"/>
  <c r="G45" i="1"/>
  <c r="G40" i="1"/>
  <c r="G44" i="1"/>
  <c r="G38" i="1"/>
  <c r="H38" i="1" s="1"/>
  <c r="F39" i="1"/>
  <c r="D50" i="1"/>
  <c r="E50" i="1"/>
  <c r="C50" i="1"/>
  <c r="H71" i="1" l="1"/>
  <c r="H40" i="1"/>
  <c r="H77" i="1"/>
  <c r="H72" i="1"/>
  <c r="H75" i="1"/>
  <c r="H76" i="1"/>
  <c r="H44" i="1"/>
  <c r="H39" i="1"/>
  <c r="H78" i="1"/>
  <c r="H81" i="1"/>
  <c r="H74" i="1"/>
  <c r="H80" i="1"/>
  <c r="H42" i="1"/>
  <c r="H48" i="1"/>
  <c r="E53" i="1"/>
  <c r="E59" i="1" s="1"/>
  <c r="K56" i="1" s="1"/>
  <c r="H45" i="1"/>
  <c r="H41" i="1"/>
  <c r="H46" i="1"/>
  <c r="H37" i="1"/>
  <c r="H47" i="1"/>
  <c r="H83" i="1" l="1"/>
  <c r="E56" i="1"/>
  <c r="H50" i="1"/>
  <c r="B23" i="1"/>
  <c r="B22" i="1"/>
  <c r="B30" i="1"/>
  <c r="E6" i="1"/>
  <c r="E7" i="1"/>
  <c r="E8" i="1"/>
  <c r="E9" i="1"/>
  <c r="E10" i="1"/>
  <c r="E11" i="1"/>
  <c r="E12" i="1"/>
  <c r="E13" i="1"/>
  <c r="E14" i="1"/>
  <c r="E15" i="1"/>
  <c r="E16" i="1"/>
  <c r="E5" i="1"/>
  <c r="D6" i="1"/>
  <c r="D7" i="1"/>
  <c r="D8" i="1"/>
  <c r="D9" i="1"/>
  <c r="D10" i="1"/>
  <c r="D11" i="1"/>
  <c r="D12" i="1"/>
  <c r="D13" i="1"/>
  <c r="D14" i="1"/>
  <c r="D15" i="1"/>
  <c r="D16" i="1"/>
  <c r="D5" i="1"/>
  <c r="C6" i="1"/>
  <c r="C7" i="1"/>
  <c r="C8" i="1"/>
  <c r="C9" i="1"/>
  <c r="C10" i="1"/>
  <c r="C11" i="1"/>
  <c r="C12" i="1"/>
  <c r="C13" i="1"/>
  <c r="C14" i="1"/>
  <c r="C15" i="1"/>
  <c r="C16" i="1"/>
  <c r="C5" i="1"/>
  <c r="B18" i="1"/>
  <c r="G8" i="1" s="1"/>
  <c r="A18" i="1"/>
  <c r="G6" i="1" l="1"/>
  <c r="G11" i="1"/>
  <c r="H11" i="1" s="1"/>
  <c r="B26" i="1"/>
  <c r="G15" i="1"/>
  <c r="G10" i="1"/>
  <c r="B29" i="1"/>
  <c r="H15" i="1"/>
  <c r="H7" i="1"/>
  <c r="G14" i="1"/>
  <c r="G9" i="1"/>
  <c r="G13" i="1"/>
  <c r="G7" i="1"/>
  <c r="C18" i="1"/>
  <c r="H6" i="1"/>
  <c r="H9" i="1"/>
  <c r="B27" i="1"/>
  <c r="H16" i="1"/>
  <c r="H8" i="1"/>
  <c r="G16" i="1"/>
  <c r="G12" i="1"/>
  <c r="H14" i="1" l="1"/>
  <c r="H12" i="1"/>
  <c r="H13" i="1"/>
  <c r="H10" i="1"/>
  <c r="E24" i="1"/>
</calcChain>
</file>

<file path=xl/sharedStrings.xml><?xml version="1.0" encoding="utf-8"?>
<sst xmlns="http://schemas.openxmlformats.org/spreadsheetml/2006/main" count="121" uniqueCount="43">
  <si>
    <t xml:space="preserve">CORRELATION </t>
  </si>
  <si>
    <t xml:space="preserve">AIRLINE COST DATA </t>
  </si>
  <si>
    <t>NO.OF PASSENGERS (X)</t>
  </si>
  <si>
    <t>COST ($1000) Y</t>
  </si>
  <si>
    <t xml:space="preserve">X^2 </t>
  </si>
  <si>
    <t>Y^2</t>
  </si>
  <si>
    <t>X-MEAN(X)</t>
  </si>
  <si>
    <t>Y-MEAN(Y)</t>
  </si>
  <si>
    <t>F*G</t>
  </si>
  <si>
    <t>X*Y</t>
  </si>
  <si>
    <t>n</t>
  </si>
  <si>
    <t xml:space="preserve">SAMPLE CORRELATION COFFECIENT </t>
  </si>
  <si>
    <t>r=Sxy/(Sqrt Sxx* Sqrt Syy)</t>
  </si>
  <si>
    <t>r</t>
  </si>
  <si>
    <t>Sxx</t>
  </si>
  <si>
    <t>Sxy</t>
  </si>
  <si>
    <t>Syy</t>
  </si>
  <si>
    <t>(∑Yi)^2</t>
  </si>
  <si>
    <t>∑Yi^2</t>
  </si>
  <si>
    <t>SQRT Sxx</t>
  </si>
  <si>
    <t>SQRT Syy</t>
  </si>
  <si>
    <t xml:space="preserve">EXAMPLE -1 </t>
  </si>
  <si>
    <t>∑Xi</t>
  </si>
  <si>
    <t>∑Yi</t>
  </si>
  <si>
    <t>∑Xi^2</t>
  </si>
  <si>
    <t>∑Xi*Yi</t>
  </si>
  <si>
    <t>(∑Xi)^2</t>
  </si>
  <si>
    <t>X̄</t>
  </si>
  <si>
    <t>Ȳ</t>
  </si>
  <si>
    <r>
      <rPr>
        <b/>
        <sz val="11"/>
        <color theme="1"/>
        <rFont val="Aptos Narrow"/>
        <family val="2"/>
      </rPr>
      <t>ϐ</t>
    </r>
    <r>
      <rPr>
        <b/>
        <sz val="11"/>
        <color theme="1"/>
        <rFont val="Calibri"/>
        <family val="2"/>
        <scheme val="minor"/>
      </rPr>
      <t>^1=Sxy/Sxx</t>
    </r>
  </si>
  <si>
    <t xml:space="preserve">EXAMPLE -2 </t>
  </si>
  <si>
    <t xml:space="preserve">BEVERAGE COST DATA </t>
  </si>
  <si>
    <t>COFFE (X)</t>
  </si>
  <si>
    <t xml:space="preserve"> TEA (Y)</t>
  </si>
  <si>
    <t>EXAMPLE-3</t>
  </si>
  <si>
    <r>
      <rPr>
        <b/>
        <sz val="11"/>
        <color theme="1"/>
        <rFont val="Aptos Narrow"/>
        <family val="2"/>
      </rPr>
      <t>ϐ</t>
    </r>
    <r>
      <rPr>
        <b/>
        <sz val="11"/>
        <color theme="1"/>
        <rFont val="Calibri"/>
        <family val="2"/>
        <scheme val="minor"/>
      </rPr>
      <t>^0=</t>
    </r>
    <r>
      <rPr>
        <b/>
        <sz val="11"/>
        <color theme="1"/>
        <rFont val="Calibri"/>
        <family val="2"/>
      </rPr>
      <t>Ῡ-</t>
    </r>
    <r>
      <rPr>
        <b/>
        <sz val="11"/>
        <color theme="1"/>
        <rFont val="Aptos Narrow"/>
        <family val="2"/>
      </rPr>
      <t>ϐ</t>
    </r>
    <r>
      <rPr>
        <b/>
        <sz val="11"/>
        <color theme="1"/>
        <rFont val="Calibri"/>
        <family val="2"/>
      </rPr>
      <t>^1X̄</t>
    </r>
  </si>
  <si>
    <t xml:space="preserve">INDUSTRIES PRODUCT COST DATA </t>
  </si>
  <si>
    <t>IRON(X)</t>
  </si>
  <si>
    <t xml:space="preserve"> STEEL (Y)</t>
  </si>
  <si>
    <t>EXAMPLE-4</t>
  </si>
  <si>
    <t xml:space="preserve">SALES OF CARS DATA </t>
  </si>
  <si>
    <t>TATA NEXON  (Y)</t>
  </si>
  <si>
    <t>THAR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</si>
</sst>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COST ($1000) 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Sheet1!$A$5:$A$16</c:f>
              <c:numCache>
                <c:formatCode>General</c:formatCode>
                <c:ptCount val="12"/>
                <c:pt idx="0">
                  <c:v>61</c:v>
                </c:pt>
                <c:pt idx="1">
                  <c:v>63</c:v>
                </c:pt>
                <c:pt idx="2">
                  <c:v>67</c:v>
                </c:pt>
                <c:pt idx="3">
                  <c:v>69</c:v>
                </c:pt>
                <c:pt idx="4">
                  <c:v>70</c:v>
                </c:pt>
                <c:pt idx="5">
                  <c:v>74</c:v>
                </c:pt>
                <c:pt idx="6">
                  <c:v>76</c:v>
                </c:pt>
                <c:pt idx="7">
                  <c:v>81</c:v>
                </c:pt>
                <c:pt idx="8">
                  <c:v>86</c:v>
                </c:pt>
                <c:pt idx="9">
                  <c:v>91</c:v>
                </c:pt>
                <c:pt idx="10">
                  <c:v>95</c:v>
                </c:pt>
                <c:pt idx="11">
                  <c:v>97</c:v>
                </c:pt>
              </c:numCache>
            </c:numRef>
          </c:xVal>
          <c:yVal>
            <c:numRef>
              <c:f>Sheet1!$B$5:$B$16</c:f>
              <c:numCache>
                <c:formatCode>General</c:formatCode>
                <c:ptCount val="12"/>
                <c:pt idx="0">
                  <c:v>4.28</c:v>
                </c:pt>
                <c:pt idx="1">
                  <c:v>4.08</c:v>
                </c:pt>
                <c:pt idx="2">
                  <c:v>4.42</c:v>
                </c:pt>
                <c:pt idx="3">
                  <c:v>4.17</c:v>
                </c:pt>
                <c:pt idx="4">
                  <c:v>4.4800000000000004</c:v>
                </c:pt>
                <c:pt idx="5">
                  <c:v>4.3</c:v>
                </c:pt>
                <c:pt idx="6">
                  <c:v>4.82</c:v>
                </c:pt>
                <c:pt idx="7">
                  <c:v>4.7</c:v>
                </c:pt>
                <c:pt idx="8">
                  <c:v>5.1100000000000003</c:v>
                </c:pt>
                <c:pt idx="9">
                  <c:v>5.13</c:v>
                </c:pt>
                <c:pt idx="10">
                  <c:v>5.64</c:v>
                </c:pt>
                <c:pt idx="11">
                  <c:v>5.56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BD-4A17-A0CC-2513D0D3A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507664"/>
        <c:axId val="1346521104"/>
      </c:scatterChart>
      <c:valAx>
        <c:axId val="134650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21104"/>
        <c:crosses val="autoZero"/>
        <c:crossBetween val="midCat"/>
      </c:valAx>
      <c:valAx>
        <c:axId val="134652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076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 TEA (Y)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Sheet1!$A$37:$A$48</c:f>
              <c:numCache>
                <c:formatCode>General</c:formatCode>
                <c:ptCount val="12"/>
                <c:pt idx="0">
                  <c:v>12</c:v>
                </c:pt>
                <c:pt idx="1">
                  <c:v>30</c:v>
                </c:pt>
                <c:pt idx="2">
                  <c:v>36</c:v>
                </c:pt>
                <c:pt idx="3">
                  <c:v>40</c:v>
                </c:pt>
                <c:pt idx="4">
                  <c:v>45</c:v>
                </c:pt>
                <c:pt idx="5">
                  <c:v>57</c:v>
                </c:pt>
                <c:pt idx="6">
                  <c:v>62</c:v>
                </c:pt>
                <c:pt idx="7">
                  <c:v>67</c:v>
                </c:pt>
                <c:pt idx="8">
                  <c:v>71</c:v>
                </c:pt>
                <c:pt idx="9">
                  <c:v>78</c:v>
                </c:pt>
                <c:pt idx="10">
                  <c:v>93</c:v>
                </c:pt>
                <c:pt idx="11">
                  <c:v>74</c:v>
                </c:pt>
              </c:numCache>
            </c:numRef>
          </c:xVal>
          <c:yVal>
            <c:numRef>
              <c:f>Sheet1!$B$37:$B$48</c:f>
              <c:numCache>
                <c:formatCode>General</c:formatCode>
                <c:ptCount val="12"/>
                <c:pt idx="0">
                  <c:v>3.3</c:v>
                </c:pt>
                <c:pt idx="1">
                  <c:v>3.2</c:v>
                </c:pt>
                <c:pt idx="2">
                  <c:v>3.4</c:v>
                </c:pt>
                <c:pt idx="3">
                  <c:v>3</c:v>
                </c:pt>
                <c:pt idx="4">
                  <c:v>2.8</c:v>
                </c:pt>
                <c:pt idx="5">
                  <c:v>2.9</c:v>
                </c:pt>
                <c:pt idx="6">
                  <c:v>2.7</c:v>
                </c:pt>
                <c:pt idx="7">
                  <c:v>2.6</c:v>
                </c:pt>
                <c:pt idx="8">
                  <c:v>2.5</c:v>
                </c:pt>
                <c:pt idx="9">
                  <c:v>2.6</c:v>
                </c:pt>
                <c:pt idx="10">
                  <c:v>2.2000000000000002</c:v>
                </c:pt>
                <c:pt idx="11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B-487B-9879-B83CB2EC0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509920"/>
        <c:axId val="1560534880"/>
      </c:scatterChart>
      <c:valAx>
        <c:axId val="156050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34880"/>
        <c:crosses val="autoZero"/>
        <c:crossBetween val="midCat"/>
      </c:valAx>
      <c:valAx>
        <c:axId val="156053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0992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Sheet1!$B$69</c:f>
              <c:strCache>
                <c:ptCount val="1"/>
                <c:pt idx="0">
                  <c:v> STEEL (Y)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Sheet1!$A$70:$A$81</c:f>
              <c:numCache>
                <c:formatCode>General</c:formatCode>
                <c:ptCount val="12"/>
                <c:pt idx="0">
                  <c:v>125.3</c:v>
                </c:pt>
                <c:pt idx="1">
                  <c:v>98.2</c:v>
                </c:pt>
                <c:pt idx="2">
                  <c:v>201.4</c:v>
                </c:pt>
                <c:pt idx="3">
                  <c:v>147.30000000000001</c:v>
                </c:pt>
                <c:pt idx="4">
                  <c:v>145.9</c:v>
                </c:pt>
                <c:pt idx="5">
                  <c:v>124.7</c:v>
                </c:pt>
                <c:pt idx="6">
                  <c:v>112.2</c:v>
                </c:pt>
                <c:pt idx="7">
                  <c:v>120.2</c:v>
                </c:pt>
                <c:pt idx="8">
                  <c:v>161.19999999999999</c:v>
                </c:pt>
                <c:pt idx="9">
                  <c:v>178.9</c:v>
                </c:pt>
                <c:pt idx="10">
                  <c:v>159.6</c:v>
                </c:pt>
                <c:pt idx="11">
                  <c:v>145.80000000000001</c:v>
                </c:pt>
              </c:numCache>
            </c:numRef>
          </c:xVal>
          <c:yVal>
            <c:numRef>
              <c:f>Sheet1!$B$70:$B$81</c:f>
              <c:numCache>
                <c:formatCode>General</c:formatCode>
                <c:ptCount val="12"/>
                <c:pt idx="0">
                  <c:v>77.900000000000006</c:v>
                </c:pt>
                <c:pt idx="1">
                  <c:v>76.8</c:v>
                </c:pt>
                <c:pt idx="2">
                  <c:v>81.5</c:v>
                </c:pt>
                <c:pt idx="3">
                  <c:v>79.8</c:v>
                </c:pt>
                <c:pt idx="4">
                  <c:v>78.2</c:v>
                </c:pt>
                <c:pt idx="5">
                  <c:v>78.3</c:v>
                </c:pt>
                <c:pt idx="6">
                  <c:v>77.5</c:v>
                </c:pt>
                <c:pt idx="7">
                  <c:v>77</c:v>
                </c:pt>
                <c:pt idx="8">
                  <c:v>80.099999999999994</c:v>
                </c:pt>
                <c:pt idx="9">
                  <c:v>80.2</c:v>
                </c:pt>
                <c:pt idx="10">
                  <c:v>79.900000000000006</c:v>
                </c:pt>
                <c:pt idx="11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37-4D91-AADD-7465F063B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517264"/>
        <c:axId val="1346517744"/>
      </c:scatterChart>
      <c:valAx>
        <c:axId val="134651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17744"/>
        <c:crosses val="autoZero"/>
        <c:crossBetween val="midCat"/>
      </c:valAx>
      <c:valAx>
        <c:axId val="134651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17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Sheet1!$B$103</c:f>
              <c:strCache>
                <c:ptCount val="1"/>
                <c:pt idx="0">
                  <c:v>TATA NEXON  (Y)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Sheet1!$A$104:$A$115</c:f>
              <c:numCache>
                <c:formatCode>General</c:formatCode>
                <c:ptCount val="12"/>
                <c:pt idx="0">
                  <c:v>158</c:v>
                </c:pt>
                <c:pt idx="1">
                  <c:v>155</c:v>
                </c:pt>
                <c:pt idx="2">
                  <c:v>156</c:v>
                </c:pt>
                <c:pt idx="3">
                  <c:v>160</c:v>
                </c:pt>
                <c:pt idx="4">
                  <c:v>161</c:v>
                </c:pt>
                <c:pt idx="5">
                  <c:v>162</c:v>
                </c:pt>
                <c:pt idx="6">
                  <c:v>164</c:v>
                </c:pt>
                <c:pt idx="7">
                  <c:v>166</c:v>
                </c:pt>
                <c:pt idx="8">
                  <c:v>167</c:v>
                </c:pt>
                <c:pt idx="9">
                  <c:v>170</c:v>
                </c:pt>
                <c:pt idx="10">
                  <c:v>173</c:v>
                </c:pt>
                <c:pt idx="11">
                  <c:v>174</c:v>
                </c:pt>
              </c:numCache>
            </c:numRef>
          </c:xVal>
          <c:yVal>
            <c:numRef>
              <c:f>Sheet1!$B$104:$B$115</c:f>
              <c:numCache>
                <c:formatCode>General</c:formatCode>
                <c:ptCount val="12"/>
                <c:pt idx="0">
                  <c:v>22.5</c:v>
                </c:pt>
                <c:pt idx="1">
                  <c:v>22.8</c:v>
                </c:pt>
                <c:pt idx="2">
                  <c:v>22.8</c:v>
                </c:pt>
                <c:pt idx="3">
                  <c:v>23.3</c:v>
                </c:pt>
                <c:pt idx="4">
                  <c:v>23.3</c:v>
                </c:pt>
                <c:pt idx="5">
                  <c:v>24.4</c:v>
                </c:pt>
                <c:pt idx="6">
                  <c:v>25.8</c:v>
                </c:pt>
                <c:pt idx="7">
                  <c:v>25.9</c:v>
                </c:pt>
                <c:pt idx="8">
                  <c:v>26</c:v>
                </c:pt>
                <c:pt idx="9">
                  <c:v>26.8</c:v>
                </c:pt>
                <c:pt idx="10">
                  <c:v>28.2</c:v>
                </c:pt>
                <c:pt idx="11">
                  <c:v>27.5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4-45A8-B66C-2C82B5930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463504"/>
        <c:axId val="1346480784"/>
      </c:scatterChart>
      <c:valAx>
        <c:axId val="134646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80784"/>
        <c:crosses val="autoZero"/>
        <c:crossBetween val="midCat"/>
      </c:valAx>
      <c:valAx>
        <c:axId val="134648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63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185964</xdr:colOff>
      <xdr:row>3</xdr:row>
      <xdr:rowOff>75293</xdr:rowOff>
    </xdr:from>
    <xdr:to>
      <xdr:col>17</xdr:col>
      <xdr:colOff>503464</xdr:colOff>
      <xdr:row>18</xdr:row>
      <xdr:rowOff>97065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76438-C680-AA4B-2A8B-E803E712E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265545</xdr:colOff>
      <xdr:row>32</xdr:row>
      <xdr:rowOff>34636</xdr:rowOff>
    </xdr:from>
    <xdr:to>
      <xdr:col>17</xdr:col>
      <xdr:colOff>611908</xdr:colOff>
      <xdr:row>47</xdr:row>
      <xdr:rowOff>84282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8AEE7D-624D-FB36-227D-15A4DC7B7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323273</xdr:colOff>
      <xdr:row>65</xdr:row>
      <xdr:rowOff>169717</xdr:rowOff>
    </xdr:from>
    <xdr:to>
      <xdr:col>18</xdr:col>
      <xdr:colOff>1</xdr:colOff>
      <xdr:row>80</xdr:row>
      <xdr:rowOff>142008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8148AD-7E65-7BFC-22BD-709AADF31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288636</xdr:colOff>
      <xdr:row>98</xdr:row>
      <xdr:rowOff>111990</xdr:rowOff>
    </xdr:from>
    <xdr:to>
      <xdr:col>17</xdr:col>
      <xdr:colOff>577273</xdr:colOff>
      <xdr:row>113</xdr:row>
      <xdr:rowOff>84281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E0AE18-99E3-C4EA-AA9B-49B6903A5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tabSelected="1" topLeftCell="A97" zoomScale="55" zoomScaleNormal="55" workbookViewId="0">
      <selection activeCell="W109" sqref="W109"/>
    </sheetView>
  </sheetViews>
  <sheetFormatPr defaultRowHeight="14.5" x14ac:dyDescent="0.35"/>
  <cols>
    <col min="1" max="1" width="30.26953125" customWidth="1"/>
    <col min="2" max="2" width="15.81640625" customWidth="1"/>
    <col min="4" max="4" width="15.453125" customWidth="1"/>
    <col min="5" max="6" width="11.453125" customWidth="1"/>
    <col min="7" max="7" width="10.54296875" customWidth="1"/>
    <col min="8" max="8" width="14.6328125" customWidth="1"/>
  </cols>
  <sheetData>
    <row r="1" spans="1:16" x14ac:dyDescent="0.3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" t="s">
        <v>0</v>
      </c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5">
      <c r="A3" s="2" t="s">
        <v>1</v>
      </c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</row>
    <row r="4" spans="1:16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9</v>
      </c>
      <c r="F4" s="2" t="s">
        <v>6</v>
      </c>
      <c r="G4" s="2" t="s">
        <v>7</v>
      </c>
      <c r="H4" s="2" t="s">
        <v>8</v>
      </c>
      <c r="I4" s="1"/>
      <c r="J4" s="1"/>
      <c r="K4" s="1"/>
      <c r="L4" s="1"/>
      <c r="M4" s="1"/>
      <c r="N4" s="1"/>
      <c r="O4" s="1"/>
      <c r="P4" s="1"/>
    </row>
    <row r="5" spans="1:16" x14ac:dyDescent="0.35">
      <c r="A5" s="2">
        <v>61</v>
      </c>
      <c r="B5" s="2">
        <v>4.28</v>
      </c>
      <c r="C5" s="2">
        <f>A5*A5</f>
        <v>3721</v>
      </c>
      <c r="D5" s="2">
        <f>B5*B5</f>
        <v>18.3184</v>
      </c>
      <c r="E5" s="2">
        <f>A5*B5</f>
        <v>261.08000000000004</v>
      </c>
      <c r="F5" s="2">
        <f>A5-($A$18/$B$21)</f>
        <v>-16.5</v>
      </c>
      <c r="G5" s="2">
        <f>B5-($B$18/$B$21)</f>
        <v>-0.44416666666666682</v>
      </c>
      <c r="H5" s="2">
        <f>F5*G5</f>
        <v>7.328750000000003</v>
      </c>
      <c r="I5" s="1"/>
      <c r="J5" s="1"/>
      <c r="K5" s="1"/>
      <c r="L5" s="1"/>
      <c r="M5" s="1"/>
      <c r="N5" s="1"/>
      <c r="O5" s="1"/>
      <c r="P5" s="1"/>
    </row>
    <row r="6" spans="1:16" x14ac:dyDescent="0.35">
      <c r="A6" s="2">
        <v>63</v>
      </c>
      <c r="B6" s="2">
        <v>4.08</v>
      </c>
      <c r="C6" s="2">
        <f t="shared" ref="C6:C16" si="0">A6*A6</f>
        <v>3969</v>
      </c>
      <c r="D6" s="2">
        <f t="shared" ref="D6:D16" si="1">B6*B6</f>
        <v>16.6464</v>
      </c>
      <c r="E6" s="2">
        <f t="shared" ref="E6:E16" si="2">A6*B6</f>
        <v>257.04000000000002</v>
      </c>
      <c r="F6" s="2">
        <f t="shared" ref="F6:F16" si="3">A6-($A$18/$B$21)</f>
        <v>-14.5</v>
      </c>
      <c r="G6" s="2">
        <f>B6-($B$18/$B$21)</f>
        <v>-0.644166666666667</v>
      </c>
      <c r="H6" s="2">
        <f>F6*G6</f>
        <v>9.3404166666666715</v>
      </c>
      <c r="I6" s="1"/>
      <c r="J6" s="1"/>
      <c r="K6" s="1"/>
      <c r="L6" s="1"/>
      <c r="M6" s="1"/>
      <c r="N6" s="1"/>
      <c r="O6" s="1"/>
      <c r="P6" s="1"/>
    </row>
    <row r="7" spans="1:16" x14ac:dyDescent="0.35">
      <c r="A7" s="2">
        <v>67</v>
      </c>
      <c r="B7" s="2">
        <v>4.42</v>
      </c>
      <c r="C7" s="2">
        <f t="shared" si="0"/>
        <v>4489</v>
      </c>
      <c r="D7" s="2">
        <f t="shared" si="1"/>
        <v>19.5364</v>
      </c>
      <c r="E7" s="2">
        <f t="shared" si="2"/>
        <v>296.14</v>
      </c>
      <c r="F7" s="2">
        <f t="shared" si="3"/>
        <v>-10.5</v>
      </c>
      <c r="G7" s="2">
        <f t="shared" ref="G7:G16" si="4">B7-($B$18/$B$21)</f>
        <v>-0.30416666666666714</v>
      </c>
      <c r="H7" s="2">
        <f t="shared" ref="H7:H16" si="5">F7*G7</f>
        <v>3.193750000000005</v>
      </c>
      <c r="I7" s="1"/>
      <c r="J7" s="1"/>
      <c r="K7" s="1"/>
      <c r="L7" s="1"/>
      <c r="M7" s="1"/>
      <c r="N7" s="1"/>
      <c r="O7" s="1"/>
      <c r="P7" s="1"/>
    </row>
    <row r="8" spans="1:16" x14ac:dyDescent="0.35">
      <c r="A8" s="2">
        <v>69</v>
      </c>
      <c r="B8" s="2">
        <v>4.17</v>
      </c>
      <c r="C8" s="2">
        <f t="shared" si="0"/>
        <v>4761</v>
      </c>
      <c r="D8" s="2">
        <f t="shared" si="1"/>
        <v>17.3889</v>
      </c>
      <c r="E8" s="2">
        <f t="shared" si="2"/>
        <v>287.73</v>
      </c>
      <c r="F8" s="2">
        <f t="shared" si="3"/>
        <v>-8.5</v>
      </c>
      <c r="G8" s="2">
        <f t="shared" si="4"/>
        <v>-0.55416666666666714</v>
      </c>
      <c r="H8" s="2">
        <f t="shared" si="5"/>
        <v>4.7104166666666707</v>
      </c>
      <c r="I8" s="1"/>
      <c r="J8" s="1"/>
      <c r="K8" s="1"/>
      <c r="L8" s="1"/>
      <c r="M8" s="1"/>
      <c r="N8" s="1"/>
      <c r="O8" s="1"/>
      <c r="P8" s="1"/>
    </row>
    <row r="9" spans="1:16" x14ac:dyDescent="0.35">
      <c r="A9" s="2">
        <v>70</v>
      </c>
      <c r="B9" s="2">
        <v>4.4800000000000004</v>
      </c>
      <c r="C9" s="2">
        <f t="shared" si="0"/>
        <v>4900</v>
      </c>
      <c r="D9" s="2">
        <f t="shared" si="1"/>
        <v>20.070400000000003</v>
      </c>
      <c r="E9" s="2">
        <f t="shared" si="2"/>
        <v>313.60000000000002</v>
      </c>
      <c r="F9" s="2">
        <f t="shared" si="3"/>
        <v>-7.5</v>
      </c>
      <c r="G9" s="2">
        <f t="shared" si="4"/>
        <v>-0.24416666666666664</v>
      </c>
      <c r="H9" s="2">
        <f t="shared" si="5"/>
        <v>1.8312499999999998</v>
      </c>
      <c r="I9" s="1"/>
      <c r="J9" s="1"/>
      <c r="K9" s="1"/>
      <c r="L9" s="1"/>
      <c r="M9" s="1"/>
      <c r="N9" s="1"/>
      <c r="O9" s="1"/>
      <c r="P9" s="1"/>
    </row>
    <row r="10" spans="1:16" x14ac:dyDescent="0.35">
      <c r="A10" s="2">
        <v>74</v>
      </c>
      <c r="B10" s="2">
        <v>4.3</v>
      </c>
      <c r="C10" s="2">
        <f t="shared" si="0"/>
        <v>5476</v>
      </c>
      <c r="D10" s="2">
        <f t="shared" si="1"/>
        <v>18.489999999999998</v>
      </c>
      <c r="E10" s="2">
        <f t="shared" si="2"/>
        <v>318.2</v>
      </c>
      <c r="F10" s="2">
        <f t="shared" si="3"/>
        <v>-3.5</v>
      </c>
      <c r="G10" s="2">
        <f t="shared" si="4"/>
        <v>-0.42416666666666725</v>
      </c>
      <c r="H10" s="2">
        <f t="shared" si="5"/>
        <v>1.4845833333333354</v>
      </c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2">
        <v>76</v>
      </c>
      <c r="B11" s="2">
        <v>4.82</v>
      </c>
      <c r="C11" s="2">
        <f t="shared" si="0"/>
        <v>5776</v>
      </c>
      <c r="D11" s="2">
        <f t="shared" si="1"/>
        <v>23.232400000000002</v>
      </c>
      <c r="E11" s="2">
        <f t="shared" si="2"/>
        <v>366.32000000000005</v>
      </c>
      <c r="F11" s="2">
        <f t="shared" si="3"/>
        <v>-1.5</v>
      </c>
      <c r="G11" s="2">
        <f t="shared" si="4"/>
        <v>9.5833333333333215E-2</v>
      </c>
      <c r="H11" s="2">
        <f t="shared" si="5"/>
        <v>-0.14374999999999982</v>
      </c>
      <c r="I11" s="1"/>
      <c r="J11" s="1"/>
      <c r="K11" s="1"/>
      <c r="L11" s="1"/>
      <c r="M11" s="1"/>
      <c r="N11" s="1"/>
      <c r="O11" s="1"/>
      <c r="P11" s="1"/>
    </row>
    <row r="12" spans="1:16" x14ac:dyDescent="0.35">
      <c r="A12" s="2">
        <v>81</v>
      </c>
      <c r="B12" s="2">
        <v>4.7</v>
      </c>
      <c r="C12" s="2">
        <f t="shared" si="0"/>
        <v>6561</v>
      </c>
      <c r="D12" s="2">
        <f t="shared" si="1"/>
        <v>22.090000000000003</v>
      </c>
      <c r="E12" s="2">
        <f t="shared" si="2"/>
        <v>380.7</v>
      </c>
      <c r="F12" s="2">
        <f t="shared" si="3"/>
        <v>3.5</v>
      </c>
      <c r="G12" s="2">
        <f t="shared" si="4"/>
        <v>-2.4166666666666892E-2</v>
      </c>
      <c r="H12" s="2">
        <f t="shared" si="5"/>
        <v>-8.4583333333334121E-2</v>
      </c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2">
        <v>86</v>
      </c>
      <c r="B13" s="2">
        <v>5.1100000000000003</v>
      </c>
      <c r="C13" s="2">
        <f t="shared" si="0"/>
        <v>7396</v>
      </c>
      <c r="D13" s="2">
        <f t="shared" si="1"/>
        <v>26.112100000000002</v>
      </c>
      <c r="E13" s="2">
        <f t="shared" si="2"/>
        <v>439.46000000000004</v>
      </c>
      <c r="F13" s="2">
        <f t="shared" si="3"/>
        <v>8.5</v>
      </c>
      <c r="G13" s="2">
        <f t="shared" si="4"/>
        <v>0.38583333333333325</v>
      </c>
      <c r="H13" s="2">
        <f t="shared" si="5"/>
        <v>3.2795833333333326</v>
      </c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2">
        <v>91</v>
      </c>
      <c r="B14" s="2">
        <v>5.13</v>
      </c>
      <c r="C14" s="2">
        <f t="shared" si="0"/>
        <v>8281</v>
      </c>
      <c r="D14" s="2">
        <f t="shared" si="1"/>
        <v>26.3169</v>
      </c>
      <c r="E14" s="2">
        <f t="shared" si="2"/>
        <v>466.83</v>
      </c>
      <c r="F14" s="2">
        <f t="shared" si="3"/>
        <v>13.5</v>
      </c>
      <c r="G14" s="2">
        <f t="shared" si="4"/>
        <v>0.40583333333333282</v>
      </c>
      <c r="H14" s="2">
        <f t="shared" si="5"/>
        <v>5.4787499999999927</v>
      </c>
      <c r="I14" s="1"/>
      <c r="J14" s="1"/>
      <c r="K14" s="1"/>
      <c r="L14" s="1"/>
      <c r="M14" s="1"/>
      <c r="N14" s="1"/>
      <c r="O14" s="1"/>
      <c r="P14" s="1"/>
    </row>
    <row r="15" spans="1:16" x14ac:dyDescent="0.35">
      <c r="A15" s="2">
        <v>95</v>
      </c>
      <c r="B15" s="2">
        <v>5.64</v>
      </c>
      <c r="C15" s="2">
        <f t="shared" si="0"/>
        <v>9025</v>
      </c>
      <c r="D15" s="2">
        <f t="shared" si="1"/>
        <v>31.809599999999996</v>
      </c>
      <c r="E15" s="2">
        <f t="shared" si="2"/>
        <v>535.79999999999995</v>
      </c>
      <c r="F15" s="2">
        <f t="shared" si="3"/>
        <v>17.5</v>
      </c>
      <c r="G15" s="2">
        <f t="shared" si="4"/>
        <v>0.91583333333333261</v>
      </c>
      <c r="H15" s="2">
        <f t="shared" si="5"/>
        <v>16.027083333333319</v>
      </c>
      <c r="I15" s="1"/>
      <c r="J15" s="1"/>
      <c r="K15" s="1"/>
      <c r="L15" s="1"/>
      <c r="M15" s="1"/>
      <c r="N15" s="1"/>
      <c r="O15" s="1"/>
      <c r="P15" s="1"/>
    </row>
    <row r="16" spans="1:16" x14ac:dyDescent="0.35">
      <c r="A16" s="2">
        <v>97</v>
      </c>
      <c r="B16" s="2">
        <v>5.56</v>
      </c>
      <c r="C16" s="2">
        <f t="shared" si="0"/>
        <v>9409</v>
      </c>
      <c r="D16" s="2">
        <f t="shared" si="1"/>
        <v>30.913599999999995</v>
      </c>
      <c r="E16" s="2">
        <f t="shared" si="2"/>
        <v>539.31999999999994</v>
      </c>
      <c r="F16" s="2">
        <f t="shared" si="3"/>
        <v>19.5</v>
      </c>
      <c r="G16" s="2">
        <f t="shared" si="4"/>
        <v>0.83583333333333254</v>
      </c>
      <c r="H16" s="2">
        <f t="shared" si="5"/>
        <v>16.298749999999984</v>
      </c>
      <c r="I16" s="1"/>
      <c r="J16" s="1"/>
      <c r="K16" s="1"/>
      <c r="L16" s="1"/>
      <c r="M16" s="1"/>
      <c r="N16" s="1"/>
      <c r="O16" s="1"/>
      <c r="P16" s="1"/>
    </row>
    <row r="17" spans="1:16" x14ac:dyDescent="0.35">
      <c r="A17" s="2"/>
      <c r="B17" s="2"/>
      <c r="C17" s="2"/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</row>
    <row r="18" spans="1:16" x14ac:dyDescent="0.35">
      <c r="A18" s="2">
        <f>SUM(A5:A16)</f>
        <v>930</v>
      </c>
      <c r="B18" s="2">
        <f>SUM(B5:B16)</f>
        <v>56.690000000000005</v>
      </c>
      <c r="C18" s="2">
        <f>SUM(C5:C16)</f>
        <v>73764</v>
      </c>
      <c r="D18" s="2">
        <f>SUM(D5:D16)</f>
        <v>270.92509999999999</v>
      </c>
      <c r="E18" s="2">
        <f>SUM(E5:E16)</f>
        <v>4462.2199999999993</v>
      </c>
      <c r="F18" s="2"/>
      <c r="G18" s="2"/>
      <c r="H18" s="2">
        <f>SUM(H5:H16)</f>
        <v>68.744999999999976</v>
      </c>
      <c r="I18" s="1"/>
      <c r="J18" s="1"/>
      <c r="K18" s="1"/>
      <c r="L18" s="1"/>
      <c r="M18" s="1"/>
      <c r="N18" s="1"/>
      <c r="O18" s="1"/>
      <c r="P18" s="1"/>
    </row>
    <row r="19" spans="1:16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s="2" t="s">
        <v>10</v>
      </c>
      <c r="B21" s="2">
        <v>12</v>
      </c>
      <c r="C21" s="1"/>
      <c r="D21" s="2" t="s">
        <v>14</v>
      </c>
      <c r="E21" s="2">
        <f>B24-B27/  B21</f>
        <v>1689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5">
      <c r="A22" s="3" t="s">
        <v>22</v>
      </c>
      <c r="B22" s="2">
        <f>SUM(A5:A16)</f>
        <v>930</v>
      </c>
      <c r="C22" s="1"/>
      <c r="D22" s="2" t="s">
        <v>15</v>
      </c>
      <c r="E22" s="2">
        <f>B26-(B22*B23/B21)</f>
        <v>68.744999999998981</v>
      </c>
      <c r="F22" s="1"/>
      <c r="G22" s="1"/>
      <c r="H22" s="1"/>
      <c r="I22" s="1"/>
      <c r="J22" s="2" t="s">
        <v>11</v>
      </c>
      <c r="K22" s="2"/>
      <c r="L22" s="2"/>
      <c r="M22" s="2"/>
      <c r="N22" s="1"/>
      <c r="O22" s="1"/>
      <c r="P22" s="1"/>
    </row>
    <row r="23" spans="1:16" x14ac:dyDescent="0.35">
      <c r="A23" s="2" t="s">
        <v>23</v>
      </c>
      <c r="B23" s="2">
        <f>SUM(B5:B16)</f>
        <v>56.690000000000005</v>
      </c>
      <c r="C23" s="1"/>
      <c r="D23" s="2" t="s">
        <v>16</v>
      </c>
      <c r="E23" s="2">
        <f>B25-B30/B21</f>
        <v>3.112091666666629</v>
      </c>
      <c r="F23" s="1"/>
      <c r="G23" s="1"/>
      <c r="H23" s="1"/>
      <c r="I23" s="1"/>
      <c r="J23" s="2" t="s">
        <v>12</v>
      </c>
      <c r="K23" s="2"/>
      <c r="L23" s="2"/>
      <c r="M23" s="2"/>
      <c r="N23" s="1"/>
      <c r="O23" s="1"/>
      <c r="P23" s="1"/>
    </row>
    <row r="24" spans="1:16" x14ac:dyDescent="0.35">
      <c r="A24" s="2" t="s">
        <v>24</v>
      </c>
      <c r="B24" s="2">
        <f>SUM(C5:C16)</f>
        <v>73764</v>
      </c>
      <c r="C24" s="1"/>
      <c r="D24" s="2" t="s">
        <v>29</v>
      </c>
      <c r="E24" s="2">
        <f>E22/E21</f>
        <v>4.0701598579040252E-2</v>
      </c>
      <c r="F24" s="1"/>
      <c r="G24" s="1"/>
      <c r="H24" s="1"/>
      <c r="I24" s="1"/>
      <c r="J24" s="2" t="s">
        <v>13</v>
      </c>
      <c r="K24" s="2">
        <f>E22/(E27*E28)</f>
        <v>0.94820032794770104</v>
      </c>
      <c r="L24" s="2"/>
      <c r="M24" s="2"/>
      <c r="N24" s="1"/>
      <c r="O24" s="1"/>
      <c r="P24" s="1"/>
    </row>
    <row r="25" spans="1:16" x14ac:dyDescent="0.35">
      <c r="A25" s="2" t="s">
        <v>18</v>
      </c>
      <c r="B25" s="2">
        <f>SUM(D5:D16)</f>
        <v>270.92509999999999</v>
      </c>
      <c r="C25" s="1"/>
      <c r="D25" s="2" t="s">
        <v>35</v>
      </c>
      <c r="E25" s="2">
        <f>B29-E24*B28</f>
        <v>1.5697927767910476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2" t="s">
        <v>25</v>
      </c>
      <c r="B26" s="2">
        <f>SUM(E5:E16)</f>
        <v>4462.2199999999993</v>
      </c>
      <c r="C26" s="1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2" t="s">
        <v>26</v>
      </c>
      <c r="B27" s="2">
        <f>A18*A18</f>
        <v>864900</v>
      </c>
      <c r="C27" s="1"/>
      <c r="D27" s="2" t="s">
        <v>19</v>
      </c>
      <c r="E27" s="2">
        <f>SQRT(E21)</f>
        <v>41.097445176069037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3" t="s">
        <v>27</v>
      </c>
      <c r="B28" s="2">
        <f>A18/B21</f>
        <v>77.5</v>
      </c>
      <c r="C28" s="1"/>
      <c r="D28" s="2" t="s">
        <v>20</v>
      </c>
      <c r="E28" s="2">
        <f>SQRT(E23)</f>
        <v>1.7641121468508256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3" t="s">
        <v>28</v>
      </c>
      <c r="B29" s="2">
        <f>B18/B21</f>
        <v>4.7241666666666671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5">
      <c r="A30" s="2" t="s">
        <v>17</v>
      </c>
      <c r="B30" s="2">
        <f>B23*B23</f>
        <v>3213.7561000000005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5">
      <c r="A33" s="1" t="s">
        <v>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5">
      <c r="A35" s="2" t="s">
        <v>31</v>
      </c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</row>
    <row r="36" spans="1:16" x14ac:dyDescent="0.35">
      <c r="A36" s="2" t="s">
        <v>32</v>
      </c>
      <c r="B36" s="2" t="s">
        <v>33</v>
      </c>
      <c r="C36" s="2" t="s">
        <v>4</v>
      </c>
      <c r="D36" s="2" t="s">
        <v>5</v>
      </c>
      <c r="E36" s="2" t="s">
        <v>9</v>
      </c>
      <c r="F36" s="2" t="s">
        <v>6</v>
      </c>
      <c r="G36" s="2" t="s">
        <v>7</v>
      </c>
      <c r="H36" s="2" t="s">
        <v>8</v>
      </c>
      <c r="I36" s="1"/>
      <c r="J36" s="1"/>
      <c r="K36" s="1"/>
      <c r="L36" s="1"/>
      <c r="M36" s="1"/>
      <c r="N36" s="1"/>
      <c r="O36" s="1"/>
      <c r="P36" s="1"/>
    </row>
    <row r="37" spans="1:16" x14ac:dyDescent="0.35">
      <c r="A37" s="2">
        <v>12</v>
      </c>
      <c r="B37" s="2">
        <v>3.3</v>
      </c>
      <c r="C37" s="2">
        <f>A37*A37</f>
        <v>144</v>
      </c>
      <c r="D37" s="2">
        <f>B37*B37</f>
        <v>10.889999999999999</v>
      </c>
      <c r="E37" s="2">
        <f>A37*B37</f>
        <v>39.599999999999994</v>
      </c>
      <c r="F37" s="2">
        <f>A37-($B$54/$B$53)</f>
        <v>-43.416666666666664</v>
      </c>
      <c r="G37" s="2">
        <f>B37-($B$55/$B$53)</f>
        <v>0.5083333333333333</v>
      </c>
      <c r="H37" s="2">
        <f>F37*G37</f>
        <v>-22.070138888888888</v>
      </c>
      <c r="I37" s="1"/>
      <c r="J37" s="1"/>
      <c r="K37" s="1"/>
      <c r="L37" s="1"/>
      <c r="M37" s="1"/>
      <c r="N37" s="1"/>
      <c r="O37" s="1"/>
      <c r="P37" s="1"/>
    </row>
    <row r="38" spans="1:16" x14ac:dyDescent="0.35">
      <c r="A38" s="2">
        <v>30</v>
      </c>
      <c r="B38" s="2">
        <v>3.2</v>
      </c>
      <c r="C38" s="2">
        <f t="shared" ref="C38:C48" si="6">A38*A38</f>
        <v>900</v>
      </c>
      <c r="D38" s="2">
        <f t="shared" ref="D38:D48" si="7">B38*B38</f>
        <v>10.240000000000002</v>
      </c>
      <c r="E38" s="2">
        <f t="shared" ref="E38:E48" si="8">A38*B38</f>
        <v>96</v>
      </c>
      <c r="F38" s="2">
        <f t="shared" ref="F38:F48" si="9">A38-($B$54/$B$53)</f>
        <v>-25.416666666666664</v>
      </c>
      <c r="G38" s="2">
        <f t="shared" ref="G38:G48" si="10">B38-($B$55/$B$53)</f>
        <v>0.40833333333333366</v>
      </c>
      <c r="H38" s="2">
        <f>F38*G38</f>
        <v>-10.37847222222223</v>
      </c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2">
        <v>36</v>
      </c>
      <c r="B39" s="2">
        <v>3.4</v>
      </c>
      <c r="C39" s="2">
        <f t="shared" si="6"/>
        <v>1296</v>
      </c>
      <c r="D39" s="2">
        <f t="shared" si="7"/>
        <v>11.559999999999999</v>
      </c>
      <c r="E39" s="2">
        <f t="shared" si="8"/>
        <v>122.39999999999999</v>
      </c>
      <c r="F39" s="2">
        <f t="shared" si="9"/>
        <v>-19.416666666666664</v>
      </c>
      <c r="G39" s="2">
        <f t="shared" si="10"/>
        <v>0.60833333333333339</v>
      </c>
      <c r="H39" s="2">
        <f t="shared" ref="H39:H48" si="11">F39*G39</f>
        <v>-11.811805555555555</v>
      </c>
      <c r="I39" s="1"/>
      <c r="J39" s="1"/>
      <c r="K39" s="1"/>
      <c r="L39" s="1"/>
      <c r="M39" s="1"/>
      <c r="N39" s="1"/>
      <c r="O39" s="1"/>
      <c r="P39" s="1"/>
    </row>
    <row r="40" spans="1:16" x14ac:dyDescent="0.35">
      <c r="A40" s="2">
        <v>40</v>
      </c>
      <c r="B40" s="2">
        <v>3</v>
      </c>
      <c r="C40" s="2">
        <f t="shared" si="6"/>
        <v>1600</v>
      </c>
      <c r="D40" s="2">
        <f t="shared" si="7"/>
        <v>9</v>
      </c>
      <c r="E40" s="2">
        <f t="shared" si="8"/>
        <v>120</v>
      </c>
      <c r="F40" s="2">
        <f t="shared" si="9"/>
        <v>-15.416666666666664</v>
      </c>
      <c r="G40" s="2">
        <f t="shared" si="10"/>
        <v>0.20833333333333348</v>
      </c>
      <c r="H40" s="2">
        <f t="shared" si="11"/>
        <v>-3.2118055555555571</v>
      </c>
      <c r="I40" s="1"/>
      <c r="J40" s="1"/>
      <c r="K40" s="1"/>
      <c r="L40" s="1"/>
      <c r="M40" s="1"/>
      <c r="N40" s="1"/>
      <c r="O40" s="1"/>
      <c r="P40" s="1"/>
    </row>
    <row r="41" spans="1:16" x14ac:dyDescent="0.35">
      <c r="A41" s="2">
        <v>45</v>
      </c>
      <c r="B41" s="2">
        <v>2.8</v>
      </c>
      <c r="C41" s="2">
        <f t="shared" si="6"/>
        <v>2025</v>
      </c>
      <c r="D41" s="2">
        <f t="shared" si="7"/>
        <v>7.839999999999999</v>
      </c>
      <c r="E41" s="2">
        <f t="shared" si="8"/>
        <v>125.99999999999999</v>
      </c>
      <c r="F41" s="2">
        <f t="shared" si="9"/>
        <v>-10.416666666666664</v>
      </c>
      <c r="G41" s="2">
        <f t="shared" si="10"/>
        <v>8.3333333333333037E-3</v>
      </c>
      <c r="H41" s="2">
        <f t="shared" si="11"/>
        <v>-8.6805555555555233E-2</v>
      </c>
      <c r="I41" s="1"/>
      <c r="J41" s="1"/>
      <c r="K41" s="1"/>
      <c r="L41" s="1"/>
      <c r="M41" s="1"/>
      <c r="N41" s="1"/>
      <c r="O41" s="1"/>
      <c r="P41" s="1"/>
    </row>
    <row r="42" spans="1:16" x14ac:dyDescent="0.35">
      <c r="A42" s="2">
        <v>57</v>
      </c>
      <c r="B42" s="2">
        <v>2.9</v>
      </c>
      <c r="C42" s="2">
        <f t="shared" si="6"/>
        <v>3249</v>
      </c>
      <c r="D42" s="2">
        <f t="shared" si="7"/>
        <v>8.41</v>
      </c>
      <c r="E42" s="2">
        <f t="shared" si="8"/>
        <v>165.29999999999998</v>
      </c>
      <c r="F42" s="2">
        <f t="shared" si="9"/>
        <v>1.5833333333333357</v>
      </c>
      <c r="G42" s="2">
        <f t="shared" si="10"/>
        <v>0.10833333333333339</v>
      </c>
      <c r="H42" s="2">
        <f t="shared" si="11"/>
        <v>0.17152777777777814</v>
      </c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2">
        <v>62</v>
      </c>
      <c r="B43" s="2">
        <v>2.7</v>
      </c>
      <c r="C43" s="2">
        <f t="shared" si="6"/>
        <v>3844</v>
      </c>
      <c r="D43" s="2">
        <f t="shared" si="7"/>
        <v>7.2900000000000009</v>
      </c>
      <c r="E43" s="2">
        <f t="shared" si="8"/>
        <v>167.4</v>
      </c>
      <c r="F43" s="2">
        <f t="shared" si="9"/>
        <v>6.5833333333333357</v>
      </c>
      <c r="G43" s="2">
        <f t="shared" si="10"/>
        <v>-9.1666666666666341E-2</v>
      </c>
      <c r="H43" s="2">
        <f t="shared" si="11"/>
        <v>-0.6034722222222203</v>
      </c>
      <c r="I43" s="1"/>
      <c r="J43" s="1"/>
      <c r="K43" s="1"/>
      <c r="L43" s="1"/>
      <c r="M43" s="1"/>
      <c r="N43" s="1"/>
      <c r="O43" s="1"/>
      <c r="P43" s="1"/>
    </row>
    <row r="44" spans="1:16" x14ac:dyDescent="0.35">
      <c r="A44" s="2">
        <v>67</v>
      </c>
      <c r="B44" s="2">
        <v>2.6</v>
      </c>
      <c r="C44" s="2">
        <f t="shared" si="6"/>
        <v>4489</v>
      </c>
      <c r="D44" s="2">
        <f t="shared" si="7"/>
        <v>6.7600000000000007</v>
      </c>
      <c r="E44" s="2">
        <f t="shared" si="8"/>
        <v>174.20000000000002</v>
      </c>
      <c r="F44" s="2">
        <f t="shared" si="9"/>
        <v>11.583333333333336</v>
      </c>
      <c r="G44" s="2">
        <f t="shared" si="10"/>
        <v>-0.19166666666666643</v>
      </c>
      <c r="H44" s="2">
        <f t="shared" si="11"/>
        <v>-2.2201388888888864</v>
      </c>
      <c r="I44" s="1"/>
      <c r="J44" s="1"/>
      <c r="K44" s="1"/>
      <c r="L44" s="1"/>
      <c r="M44" s="1"/>
      <c r="N44" s="1"/>
      <c r="O44" s="1"/>
      <c r="P44" s="1"/>
    </row>
    <row r="45" spans="1:16" x14ac:dyDescent="0.35">
      <c r="A45" s="2">
        <v>71</v>
      </c>
      <c r="B45" s="2">
        <v>2.5</v>
      </c>
      <c r="C45" s="2">
        <f t="shared" si="6"/>
        <v>5041</v>
      </c>
      <c r="D45" s="2">
        <f t="shared" si="7"/>
        <v>6.25</v>
      </c>
      <c r="E45" s="2">
        <f t="shared" si="8"/>
        <v>177.5</v>
      </c>
      <c r="F45" s="2">
        <f t="shared" si="9"/>
        <v>15.583333333333336</v>
      </c>
      <c r="G45" s="2">
        <f t="shared" si="10"/>
        <v>-0.29166666666666652</v>
      </c>
      <c r="H45" s="2">
        <f t="shared" si="11"/>
        <v>-4.5451388888888875</v>
      </c>
      <c r="I45" s="1"/>
      <c r="J45" s="1"/>
      <c r="K45" s="1"/>
      <c r="L45" s="1"/>
      <c r="M45" s="1"/>
      <c r="N45" s="1"/>
      <c r="O45" s="1"/>
      <c r="P45" s="1"/>
    </row>
    <row r="46" spans="1:16" x14ac:dyDescent="0.35">
      <c r="A46" s="2">
        <v>78</v>
      </c>
      <c r="B46" s="2">
        <v>2.6</v>
      </c>
      <c r="C46" s="2">
        <f t="shared" si="6"/>
        <v>6084</v>
      </c>
      <c r="D46" s="2">
        <f t="shared" si="7"/>
        <v>6.7600000000000007</v>
      </c>
      <c r="E46" s="2">
        <f t="shared" si="8"/>
        <v>202.8</v>
      </c>
      <c r="F46" s="2">
        <f t="shared" si="9"/>
        <v>22.583333333333336</v>
      </c>
      <c r="G46" s="2">
        <f t="shared" si="10"/>
        <v>-0.19166666666666643</v>
      </c>
      <c r="H46" s="2">
        <f t="shared" si="11"/>
        <v>-4.3284722222222172</v>
      </c>
      <c r="I46" s="1"/>
      <c r="J46" s="1"/>
      <c r="K46" s="1"/>
      <c r="L46" s="1"/>
      <c r="M46" s="1"/>
      <c r="N46" s="1"/>
      <c r="O46" s="1"/>
      <c r="P46" s="1"/>
    </row>
    <row r="47" spans="1:16" x14ac:dyDescent="0.35">
      <c r="A47" s="2">
        <v>93</v>
      </c>
      <c r="B47" s="2">
        <v>2.2000000000000002</v>
      </c>
      <c r="C47" s="2">
        <f t="shared" si="6"/>
        <v>8649</v>
      </c>
      <c r="D47" s="2">
        <f t="shared" si="7"/>
        <v>4.8400000000000007</v>
      </c>
      <c r="E47" s="2">
        <f t="shared" si="8"/>
        <v>204.60000000000002</v>
      </c>
      <c r="F47" s="2">
        <f t="shared" si="9"/>
        <v>37.583333333333336</v>
      </c>
      <c r="G47" s="2">
        <f t="shared" si="10"/>
        <v>-0.59166666666666634</v>
      </c>
      <c r="H47" s="2">
        <f t="shared" si="11"/>
        <v>-22.236805555555545</v>
      </c>
      <c r="I47" s="1"/>
      <c r="J47" s="1"/>
      <c r="K47" s="1"/>
      <c r="L47" s="1"/>
      <c r="M47" s="1"/>
      <c r="N47" s="1"/>
      <c r="O47" s="1"/>
      <c r="P47" s="1"/>
    </row>
    <row r="48" spans="1:16" x14ac:dyDescent="0.35">
      <c r="A48" s="2">
        <v>74</v>
      </c>
      <c r="B48" s="2">
        <v>2.2999999999999998</v>
      </c>
      <c r="C48" s="2">
        <f t="shared" si="6"/>
        <v>5476</v>
      </c>
      <c r="D48" s="2">
        <f t="shared" si="7"/>
        <v>5.2899999999999991</v>
      </c>
      <c r="E48" s="2">
        <f t="shared" si="8"/>
        <v>170.2</v>
      </c>
      <c r="F48" s="2">
        <f t="shared" si="9"/>
        <v>18.583333333333336</v>
      </c>
      <c r="G48" s="2">
        <f t="shared" si="10"/>
        <v>-0.4916666666666667</v>
      </c>
      <c r="H48" s="2">
        <f t="shared" si="11"/>
        <v>-9.1368055555555578</v>
      </c>
      <c r="I48" s="1"/>
      <c r="J48" s="1"/>
      <c r="K48" s="1"/>
      <c r="L48" s="1"/>
      <c r="M48" s="1"/>
      <c r="N48" s="1"/>
      <c r="O48" s="1"/>
      <c r="P48" s="1"/>
    </row>
    <row r="49" spans="1:16" x14ac:dyDescent="0.35">
      <c r="A49" s="2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</row>
    <row r="50" spans="1:16" x14ac:dyDescent="0.35">
      <c r="A50" s="2">
        <f>SUM(A37:A48)</f>
        <v>665</v>
      </c>
      <c r="B50" s="2">
        <f>SUM(B37:B48)</f>
        <v>33.5</v>
      </c>
      <c r="C50" s="2">
        <f>SUM(C37:C48)</f>
        <v>42797</v>
      </c>
      <c r="D50" s="2">
        <f>SUM(D37:D48)</f>
        <v>95.130000000000024</v>
      </c>
      <c r="E50" s="2">
        <f>SUM(E37:E48)</f>
        <v>1766.0000000000002</v>
      </c>
      <c r="F50" s="2"/>
      <c r="G50" s="2"/>
      <c r="H50" s="2">
        <f>SUM(H37:H48)</f>
        <v>-90.458333333333329</v>
      </c>
      <c r="I50" s="1"/>
      <c r="J50" s="1"/>
      <c r="K50" s="1"/>
      <c r="L50" s="1"/>
      <c r="M50" s="1"/>
      <c r="N50" s="1"/>
      <c r="O50" s="1"/>
      <c r="P50" s="1"/>
    </row>
    <row r="51" spans="1:1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5">
      <c r="A53" s="2" t="s">
        <v>10</v>
      </c>
      <c r="B53" s="2">
        <v>12</v>
      </c>
      <c r="C53" s="1"/>
      <c r="D53" s="2" t="s">
        <v>14</v>
      </c>
      <c r="E53" s="2">
        <f>B56-B59/B53</f>
        <v>5944.9166666666642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5">
      <c r="A54" s="3" t="s">
        <v>22</v>
      </c>
      <c r="B54" s="2">
        <f>SUM(A37:A48)</f>
        <v>665</v>
      </c>
      <c r="C54" s="1"/>
      <c r="D54" s="2" t="s">
        <v>15</v>
      </c>
      <c r="E54" s="2">
        <f>B58-(B54*B55/B53)</f>
        <v>-90.45833333333303</v>
      </c>
      <c r="F54" s="1"/>
      <c r="G54" s="1"/>
      <c r="H54" s="1"/>
      <c r="I54" s="1"/>
      <c r="J54" s="2" t="s">
        <v>11</v>
      </c>
      <c r="K54" s="2"/>
      <c r="L54" s="2"/>
      <c r="M54" s="2"/>
      <c r="N54" s="1"/>
      <c r="O54" s="1"/>
      <c r="P54" s="1"/>
    </row>
    <row r="55" spans="1:16" x14ac:dyDescent="0.35">
      <c r="A55" s="2" t="s">
        <v>23</v>
      </c>
      <c r="B55" s="2">
        <f>SUM(B37:B48)</f>
        <v>33.5</v>
      </c>
      <c r="C55" s="1"/>
      <c r="D55" s="2" t="s">
        <v>16</v>
      </c>
      <c r="E55" s="2">
        <f>B57-B62/B53</f>
        <v>1.6091666666666953</v>
      </c>
      <c r="F55" s="1"/>
      <c r="G55" s="1"/>
      <c r="H55" s="1"/>
      <c r="I55" s="1"/>
      <c r="J55" s="2" t="s">
        <v>12</v>
      </c>
      <c r="K55" s="2"/>
      <c r="L55" s="2"/>
      <c r="M55" s="2"/>
      <c r="N55" s="1"/>
      <c r="O55" s="1"/>
      <c r="P55" s="1"/>
    </row>
    <row r="56" spans="1:16" x14ac:dyDescent="0.35">
      <c r="A56" s="2" t="s">
        <v>24</v>
      </c>
      <c r="B56" s="2">
        <f>SUM(C37:C48)</f>
        <v>42797</v>
      </c>
      <c r="C56" s="1"/>
      <c r="D56" s="2" t="s">
        <v>29</v>
      </c>
      <c r="E56" s="2">
        <f>E54/E53</f>
        <v>-1.5216080965530732E-2</v>
      </c>
      <c r="F56" s="1"/>
      <c r="G56" s="1"/>
      <c r="H56" s="1"/>
      <c r="I56" s="1"/>
      <c r="J56" s="2" t="s">
        <v>13</v>
      </c>
      <c r="K56" s="2">
        <f>E54/(E59*E60)</f>
        <v>-0.92485826557228346</v>
      </c>
      <c r="L56" s="2"/>
      <c r="M56" s="2"/>
      <c r="N56" s="1"/>
      <c r="O56" s="1"/>
      <c r="P56" s="1"/>
    </row>
    <row r="57" spans="1:16" x14ac:dyDescent="0.35">
      <c r="A57" s="1" t="s">
        <v>18</v>
      </c>
      <c r="B57" s="1">
        <f>SUM(D37:D48)</f>
        <v>95.130000000000024</v>
      </c>
      <c r="C57" s="1"/>
      <c r="D57" s="2" t="s">
        <v>35</v>
      </c>
      <c r="E57" s="2">
        <f>B61-E56*B60</f>
        <v>3.6348911535064943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5">
      <c r="A58" s="2" t="s">
        <v>25</v>
      </c>
      <c r="B58" s="2">
        <f>SUM(E37:E48)</f>
        <v>1766.0000000000002</v>
      </c>
      <c r="C58" s="1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5">
      <c r="A59" s="2" t="s">
        <v>26</v>
      </c>
      <c r="B59" s="2">
        <f>B54*B54</f>
        <v>442225</v>
      </c>
      <c r="C59" s="1"/>
      <c r="D59" s="2" t="s">
        <v>19</v>
      </c>
      <c r="E59" s="2">
        <f>SQRT(E53)</f>
        <v>77.103285706036317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5">
      <c r="A60" s="3" t="s">
        <v>27</v>
      </c>
      <c r="B60" s="2">
        <f>B54/B53</f>
        <v>55.416666666666664</v>
      </c>
      <c r="C60" s="1"/>
      <c r="D60" s="2" t="s">
        <v>20</v>
      </c>
      <c r="E60" s="2">
        <f>SQRT(E55)</f>
        <v>1.2685293322058797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5">
      <c r="A61" s="3" t="s">
        <v>28</v>
      </c>
      <c r="B61" s="2">
        <f>B55/B53</f>
        <v>2.7916666666666665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5">
      <c r="A62" s="2" t="s">
        <v>17</v>
      </c>
      <c r="B62" s="2">
        <f>B55*B55</f>
        <v>1122.25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5">
      <c r="A65" s="1" t="s">
        <v>34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5">
      <c r="A68" s="2" t="s">
        <v>36</v>
      </c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</row>
    <row r="69" spans="1:16" x14ac:dyDescent="0.35">
      <c r="A69" s="2" t="s">
        <v>37</v>
      </c>
      <c r="B69" s="2" t="s">
        <v>38</v>
      </c>
      <c r="C69" s="2" t="s">
        <v>4</v>
      </c>
      <c r="D69" s="2" t="s">
        <v>5</v>
      </c>
      <c r="E69" s="2" t="s">
        <v>9</v>
      </c>
      <c r="F69" s="2" t="s">
        <v>6</v>
      </c>
      <c r="G69" s="2" t="s">
        <v>7</v>
      </c>
      <c r="H69" s="2" t="s">
        <v>8</v>
      </c>
      <c r="I69" s="1"/>
      <c r="J69" s="1"/>
      <c r="K69" s="1"/>
      <c r="L69" s="1"/>
      <c r="M69" s="1"/>
      <c r="N69" s="1"/>
      <c r="O69" s="1"/>
      <c r="P69" s="1"/>
    </row>
    <row r="70" spans="1:16" x14ac:dyDescent="0.35">
      <c r="A70" s="2">
        <v>125.3</v>
      </c>
      <c r="B70" s="2">
        <v>77.900000000000006</v>
      </c>
      <c r="C70" s="2">
        <f>A70*A70</f>
        <v>15700.09</v>
      </c>
      <c r="D70" s="2">
        <f>B70*B70</f>
        <v>6068.4100000000008</v>
      </c>
      <c r="E70" s="2">
        <f>A70*B70</f>
        <v>9760.8700000000008</v>
      </c>
      <c r="F70" s="2">
        <f>A70-($B$87/$B$86)</f>
        <v>-18.091666666666683</v>
      </c>
      <c r="G70" s="2">
        <f>B70-($B$88/$B$86)</f>
        <v>-0.95000000000000284</v>
      </c>
      <c r="H70" s="2">
        <f>F70*G70</f>
        <v>17.187083333333401</v>
      </c>
      <c r="I70" s="1"/>
      <c r="J70" s="1"/>
      <c r="K70" s="1"/>
      <c r="L70" s="1"/>
      <c r="M70" s="1"/>
      <c r="N70" s="1"/>
      <c r="O70" s="1"/>
      <c r="P70" s="1"/>
    </row>
    <row r="71" spans="1:16" x14ac:dyDescent="0.35">
      <c r="A71" s="2">
        <v>98.2</v>
      </c>
      <c r="B71" s="2">
        <v>76.8</v>
      </c>
      <c r="C71" s="2">
        <f t="shared" ref="C71:C81" si="12">A71*A71</f>
        <v>9643.24</v>
      </c>
      <c r="D71" s="2">
        <f t="shared" ref="D71:D81" si="13">B71*B71</f>
        <v>5898.24</v>
      </c>
      <c r="E71" s="2">
        <f t="shared" ref="E71:E81" si="14">A71*B71</f>
        <v>7541.76</v>
      </c>
      <c r="F71" s="2">
        <f t="shared" ref="F71:F81" si="15">A71-($B$87/$B$86)</f>
        <v>-45.191666666666677</v>
      </c>
      <c r="G71" s="2">
        <f t="shared" ref="G71:G81" si="16">B71-($B$88/$B$86)</f>
        <v>-2.0500000000000114</v>
      </c>
      <c r="H71" s="2">
        <f>F71*G71</f>
        <v>92.642916666667205</v>
      </c>
      <c r="I71" s="1"/>
      <c r="J71" s="1"/>
      <c r="K71" s="1"/>
      <c r="L71" s="1"/>
      <c r="M71" s="1"/>
      <c r="N71" s="1"/>
      <c r="O71" s="1"/>
      <c r="P71" s="1"/>
    </row>
    <row r="72" spans="1:16" x14ac:dyDescent="0.35">
      <c r="A72" s="2">
        <v>201.4</v>
      </c>
      <c r="B72" s="2">
        <v>81.5</v>
      </c>
      <c r="C72" s="2">
        <f t="shared" si="12"/>
        <v>40561.96</v>
      </c>
      <c r="D72" s="2">
        <f t="shared" si="13"/>
        <v>6642.25</v>
      </c>
      <c r="E72" s="2">
        <f t="shared" si="14"/>
        <v>16414.100000000002</v>
      </c>
      <c r="F72" s="2">
        <f t="shared" si="15"/>
        <v>58.008333333333326</v>
      </c>
      <c r="G72" s="2">
        <f t="shared" si="16"/>
        <v>2.6499999999999915</v>
      </c>
      <c r="H72" s="2">
        <f t="shared" ref="H72:H81" si="17">F72*G72</f>
        <v>153.72208333333282</v>
      </c>
      <c r="I72" s="1"/>
      <c r="J72" s="1"/>
      <c r="K72" s="1"/>
      <c r="L72" s="1"/>
      <c r="M72" s="1"/>
      <c r="N72" s="1"/>
      <c r="O72" s="1"/>
      <c r="P72" s="1"/>
    </row>
    <row r="73" spans="1:16" x14ac:dyDescent="0.35">
      <c r="A73" s="2">
        <v>147.30000000000001</v>
      </c>
      <c r="B73" s="2">
        <v>79.8</v>
      </c>
      <c r="C73" s="2">
        <f t="shared" si="12"/>
        <v>21697.290000000005</v>
      </c>
      <c r="D73" s="2">
        <f t="shared" si="13"/>
        <v>6368.04</v>
      </c>
      <c r="E73" s="2">
        <f t="shared" si="14"/>
        <v>11754.54</v>
      </c>
      <c r="F73" s="2">
        <f t="shared" si="15"/>
        <v>3.9083333333333314</v>
      </c>
      <c r="G73" s="2">
        <f t="shared" si="16"/>
        <v>0.94999999999998863</v>
      </c>
      <c r="H73" s="2">
        <f t="shared" si="17"/>
        <v>3.7129166666666205</v>
      </c>
      <c r="I73" s="1"/>
      <c r="J73" s="1"/>
      <c r="K73" s="1"/>
      <c r="L73" s="1"/>
      <c r="M73" s="1"/>
      <c r="N73" s="1"/>
      <c r="O73" s="1"/>
      <c r="P73" s="1"/>
    </row>
    <row r="74" spans="1:16" x14ac:dyDescent="0.35">
      <c r="A74" s="2">
        <v>145.9</v>
      </c>
      <c r="B74" s="2">
        <v>78.2</v>
      </c>
      <c r="C74" s="2">
        <f t="shared" si="12"/>
        <v>21286.81</v>
      </c>
      <c r="D74" s="2">
        <f t="shared" si="13"/>
        <v>6115.2400000000007</v>
      </c>
      <c r="E74" s="2">
        <f t="shared" si="14"/>
        <v>11409.380000000001</v>
      </c>
      <c r="F74" s="2">
        <f t="shared" si="15"/>
        <v>2.5083333333333258</v>
      </c>
      <c r="G74" s="2">
        <f t="shared" si="16"/>
        <v>-0.65000000000000568</v>
      </c>
      <c r="H74" s="2">
        <f t="shared" si="17"/>
        <v>-1.630416666666676</v>
      </c>
      <c r="I74" s="1"/>
      <c r="J74" s="1"/>
      <c r="K74" s="1"/>
      <c r="L74" s="1"/>
      <c r="M74" s="1"/>
      <c r="N74" s="1"/>
      <c r="O74" s="1"/>
      <c r="P74" s="1"/>
    </row>
    <row r="75" spans="1:16" x14ac:dyDescent="0.35">
      <c r="A75" s="2">
        <v>124.7</v>
      </c>
      <c r="B75" s="2">
        <v>78.3</v>
      </c>
      <c r="C75" s="2">
        <f t="shared" si="12"/>
        <v>15550.09</v>
      </c>
      <c r="D75" s="2">
        <f t="shared" si="13"/>
        <v>6130.8899999999994</v>
      </c>
      <c r="E75" s="2">
        <f t="shared" si="14"/>
        <v>9764.01</v>
      </c>
      <c r="F75" s="2">
        <f t="shared" si="15"/>
        <v>-18.691666666666677</v>
      </c>
      <c r="G75" s="2">
        <f t="shared" si="16"/>
        <v>-0.55000000000001137</v>
      </c>
      <c r="H75" s="2">
        <f t="shared" si="17"/>
        <v>10.280416666666884</v>
      </c>
      <c r="I75" s="1"/>
      <c r="J75" s="1"/>
      <c r="K75" s="1"/>
      <c r="L75" s="1"/>
      <c r="M75" s="1"/>
      <c r="N75" s="1"/>
      <c r="O75" s="1"/>
      <c r="P75" s="1"/>
    </row>
    <row r="76" spans="1:16" x14ac:dyDescent="0.35">
      <c r="A76" s="2">
        <v>112.2</v>
      </c>
      <c r="B76" s="2">
        <v>77.5</v>
      </c>
      <c r="C76" s="2">
        <f t="shared" si="12"/>
        <v>12588.84</v>
      </c>
      <c r="D76" s="2">
        <f t="shared" si="13"/>
        <v>6006.25</v>
      </c>
      <c r="E76" s="2">
        <f t="shared" si="14"/>
        <v>8695.5</v>
      </c>
      <c r="F76" s="2">
        <f t="shared" si="15"/>
        <v>-31.191666666666677</v>
      </c>
      <c r="G76" s="2">
        <f t="shared" si="16"/>
        <v>-1.3500000000000085</v>
      </c>
      <c r="H76" s="2">
        <f t="shared" si="17"/>
        <v>42.108750000000278</v>
      </c>
      <c r="I76" s="1"/>
      <c r="J76" s="1"/>
      <c r="K76" s="1"/>
      <c r="L76" s="1"/>
      <c r="M76" s="1"/>
      <c r="N76" s="1"/>
      <c r="O76" s="1"/>
      <c r="P76" s="1"/>
    </row>
    <row r="77" spans="1:16" x14ac:dyDescent="0.35">
      <c r="A77" s="2">
        <v>120.2</v>
      </c>
      <c r="B77" s="2">
        <v>77</v>
      </c>
      <c r="C77" s="2">
        <f t="shared" si="12"/>
        <v>14448.04</v>
      </c>
      <c r="D77" s="2">
        <f t="shared" si="13"/>
        <v>5929</v>
      </c>
      <c r="E77" s="2">
        <f t="shared" si="14"/>
        <v>9255.4</v>
      </c>
      <c r="F77" s="2">
        <f t="shared" si="15"/>
        <v>-23.191666666666677</v>
      </c>
      <c r="G77" s="2">
        <f t="shared" si="16"/>
        <v>-1.8500000000000085</v>
      </c>
      <c r="H77" s="2">
        <f t="shared" si="17"/>
        <v>42.904583333333548</v>
      </c>
      <c r="I77" s="1"/>
      <c r="J77" s="1"/>
      <c r="K77" s="1"/>
      <c r="L77" s="1"/>
      <c r="M77" s="1"/>
      <c r="N77" s="1"/>
      <c r="O77" s="1"/>
      <c r="P77" s="1"/>
    </row>
    <row r="78" spans="1:16" x14ac:dyDescent="0.35">
      <c r="A78" s="2">
        <v>161.19999999999999</v>
      </c>
      <c r="B78" s="2">
        <v>80.099999999999994</v>
      </c>
      <c r="C78" s="2">
        <f t="shared" si="12"/>
        <v>25985.439999999995</v>
      </c>
      <c r="D78" s="2">
        <f t="shared" si="13"/>
        <v>6416.0099999999993</v>
      </c>
      <c r="E78" s="2">
        <f t="shared" si="14"/>
        <v>12912.119999999999</v>
      </c>
      <c r="F78" s="2">
        <f t="shared" si="15"/>
        <v>17.808333333333309</v>
      </c>
      <c r="G78" s="2">
        <f t="shared" si="16"/>
        <v>1.2499999999999858</v>
      </c>
      <c r="H78" s="2">
        <f t="shared" si="17"/>
        <v>22.260416666666384</v>
      </c>
      <c r="I78" s="1"/>
      <c r="J78" s="1"/>
      <c r="K78" s="1"/>
      <c r="L78" s="1"/>
      <c r="M78" s="1"/>
      <c r="N78" s="1"/>
      <c r="O78" s="1"/>
      <c r="P78" s="1"/>
    </row>
    <row r="79" spans="1:16" x14ac:dyDescent="0.35">
      <c r="A79" s="2">
        <v>178.9</v>
      </c>
      <c r="B79" s="2">
        <v>80.2</v>
      </c>
      <c r="C79" s="2">
        <f t="shared" si="12"/>
        <v>32005.210000000003</v>
      </c>
      <c r="D79" s="2">
        <f t="shared" si="13"/>
        <v>6432.0400000000009</v>
      </c>
      <c r="E79" s="2">
        <f t="shared" si="14"/>
        <v>14347.78</v>
      </c>
      <c r="F79" s="2">
        <f t="shared" si="15"/>
        <v>35.508333333333326</v>
      </c>
      <c r="G79" s="2">
        <f t="shared" si="16"/>
        <v>1.3499999999999943</v>
      </c>
      <c r="H79" s="2">
        <f t="shared" si="17"/>
        <v>47.936249999999788</v>
      </c>
      <c r="I79" s="1"/>
      <c r="J79" s="1"/>
      <c r="K79" s="1"/>
      <c r="L79" s="1"/>
      <c r="M79" s="1"/>
      <c r="N79" s="1"/>
      <c r="O79" s="1"/>
      <c r="P79" s="1"/>
    </row>
    <row r="80" spans="1:16" x14ac:dyDescent="0.35">
      <c r="A80" s="2">
        <v>159.6</v>
      </c>
      <c r="B80" s="2">
        <v>79.900000000000006</v>
      </c>
      <c r="C80" s="2">
        <f t="shared" si="12"/>
        <v>25472.16</v>
      </c>
      <c r="D80" s="2">
        <f t="shared" si="13"/>
        <v>6384.0100000000011</v>
      </c>
      <c r="E80" s="2">
        <f t="shared" si="14"/>
        <v>12752.04</v>
      </c>
      <c r="F80" s="2">
        <f t="shared" si="15"/>
        <v>16.208333333333314</v>
      </c>
      <c r="G80" s="2">
        <f t="shared" si="16"/>
        <v>1.0499999999999972</v>
      </c>
      <c r="H80" s="2">
        <f t="shared" si="17"/>
        <v>17.018749999999933</v>
      </c>
      <c r="I80" s="1"/>
      <c r="J80" s="1"/>
      <c r="K80" s="1"/>
      <c r="L80" s="1"/>
      <c r="M80" s="1"/>
      <c r="N80" s="1"/>
      <c r="O80" s="1"/>
      <c r="P80" s="1"/>
    </row>
    <row r="81" spans="1:16" x14ac:dyDescent="0.35">
      <c r="A81" s="2">
        <v>145.80000000000001</v>
      </c>
      <c r="B81" s="2">
        <v>79</v>
      </c>
      <c r="C81" s="2">
        <f t="shared" si="12"/>
        <v>21257.640000000003</v>
      </c>
      <c r="D81" s="2">
        <f t="shared" si="13"/>
        <v>6241</v>
      </c>
      <c r="E81" s="2">
        <f t="shared" si="14"/>
        <v>11518.2</v>
      </c>
      <c r="F81" s="2">
        <f t="shared" si="15"/>
        <v>2.4083333333333314</v>
      </c>
      <c r="G81" s="2">
        <f t="shared" si="16"/>
        <v>0.14999999999999147</v>
      </c>
      <c r="H81" s="2">
        <f t="shared" si="17"/>
        <v>0.3612499999999792</v>
      </c>
      <c r="I81" s="1"/>
      <c r="J81" s="1"/>
      <c r="K81" s="1"/>
      <c r="L81" s="1"/>
      <c r="M81" s="1"/>
      <c r="N81" s="1"/>
      <c r="O81" s="1"/>
      <c r="P81" s="1"/>
    </row>
    <row r="82" spans="1:16" x14ac:dyDescent="0.35">
      <c r="A82" s="2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</row>
    <row r="83" spans="1:16" x14ac:dyDescent="0.35">
      <c r="A83" s="2">
        <f>SUM(A70:A81)</f>
        <v>1720.7</v>
      </c>
      <c r="B83" s="2">
        <f>SUM(B70:B81)</f>
        <v>946.2</v>
      </c>
      <c r="C83" s="2">
        <f>SUM(C70:C81)</f>
        <v>256196.81000000003</v>
      </c>
      <c r="D83" s="2">
        <f>SUM(D70:D81)</f>
        <v>74631.38</v>
      </c>
      <c r="E83" s="2">
        <f>SUM(E70:E81)</f>
        <v>136125.70000000001</v>
      </c>
      <c r="F83" s="2"/>
      <c r="G83" s="2"/>
      <c r="H83" s="2">
        <f>SUM(H70:H81)</f>
        <v>448.50500000000022</v>
      </c>
      <c r="I83" s="1"/>
      <c r="J83" s="1"/>
      <c r="K83" s="1"/>
      <c r="L83" s="1"/>
      <c r="M83" s="1"/>
      <c r="N83" s="1"/>
      <c r="O83" s="1"/>
      <c r="P83" s="1"/>
    </row>
    <row r="84" spans="1:1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35">
      <c r="A86" s="2" t="s">
        <v>10</v>
      </c>
      <c r="B86" s="2">
        <v>12</v>
      </c>
      <c r="C86" s="1"/>
      <c r="D86" s="2" t="s">
        <v>14</v>
      </c>
      <c r="E86" s="2">
        <f>B89-B92/B86</f>
        <v>9462.7691666666651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35">
      <c r="A87" s="3" t="s">
        <v>22</v>
      </c>
      <c r="B87" s="2">
        <f>SUM(A70:A81)</f>
        <v>1720.7</v>
      </c>
      <c r="C87" s="1"/>
      <c r="D87" s="2" t="s">
        <v>15</v>
      </c>
      <c r="E87" s="2">
        <f>B91-(B87*B88/B86)</f>
        <v>448.50500000000466</v>
      </c>
      <c r="F87" s="1"/>
      <c r="G87" s="1"/>
      <c r="H87" s="1"/>
      <c r="I87" s="1"/>
      <c r="J87" s="2" t="s">
        <v>11</v>
      </c>
      <c r="K87" s="2"/>
      <c r="L87" s="2"/>
      <c r="M87" s="2"/>
      <c r="N87" s="1"/>
      <c r="O87" s="1"/>
      <c r="P87" s="1"/>
    </row>
    <row r="88" spans="1:16" x14ac:dyDescent="0.35">
      <c r="A88" s="2" t="s">
        <v>23</v>
      </c>
      <c r="B88" s="2">
        <f>SUM(B70:B81)</f>
        <v>946.2</v>
      </c>
      <c r="C88" s="1"/>
      <c r="D88" s="2" t="s">
        <v>16</v>
      </c>
      <c r="E88" s="2">
        <f>B90-B95/B86</f>
        <v>23.509999999994761</v>
      </c>
      <c r="F88" s="1"/>
      <c r="G88" s="1"/>
      <c r="H88" s="1"/>
      <c r="I88" s="1"/>
      <c r="J88" s="2" t="s">
        <v>12</v>
      </c>
      <c r="K88" s="2"/>
      <c r="L88" s="2"/>
      <c r="M88" s="2"/>
      <c r="N88" s="1"/>
      <c r="O88" s="1"/>
      <c r="P88" s="1"/>
    </row>
    <row r="89" spans="1:16" x14ac:dyDescent="0.35">
      <c r="A89" s="2" t="s">
        <v>24</v>
      </c>
      <c r="B89" s="2">
        <f>SUM(C70:C81)</f>
        <v>256196.81000000003</v>
      </c>
      <c r="C89" s="1"/>
      <c r="D89" s="2" t="s">
        <v>29</v>
      </c>
      <c r="E89" s="2">
        <f>E87/E86</f>
        <v>4.7396802363086077E-2</v>
      </c>
      <c r="F89" s="1"/>
      <c r="G89" s="1"/>
      <c r="H89" s="1"/>
      <c r="I89" s="1"/>
      <c r="J89" s="2" t="s">
        <v>13</v>
      </c>
      <c r="K89" s="2">
        <f>E87/(E92*E93)</f>
        <v>0.95089344013408872</v>
      </c>
      <c r="L89" s="2"/>
      <c r="M89" s="2"/>
      <c r="N89" s="1"/>
      <c r="O89" s="1"/>
      <c r="P89" s="1"/>
    </row>
    <row r="90" spans="1:16" x14ac:dyDescent="0.35">
      <c r="A90" s="1" t="s">
        <v>18</v>
      </c>
      <c r="B90" s="1">
        <f>SUM(D70:D81)</f>
        <v>74631.38</v>
      </c>
      <c r="C90" s="1"/>
      <c r="D90" s="2" t="s">
        <v>35</v>
      </c>
      <c r="E90" s="2">
        <f>B94-E89*B93</f>
        <v>72.053693514486497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35">
      <c r="A91" s="2" t="s">
        <v>25</v>
      </c>
      <c r="B91" s="2">
        <f>SUM(E70:E81)</f>
        <v>136125.70000000001</v>
      </c>
      <c r="C91" s="1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35">
      <c r="A92" s="2" t="s">
        <v>26</v>
      </c>
      <c r="B92" s="2">
        <f>B87*B87</f>
        <v>2960808.49</v>
      </c>
      <c r="C92" s="1"/>
      <c r="D92" s="2" t="s">
        <v>19</v>
      </c>
      <c r="E92" s="2">
        <f>SQRT(E86)</f>
        <v>97.276765811095231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35">
      <c r="A93" s="3" t="s">
        <v>27</v>
      </c>
      <c r="B93" s="2">
        <f>B87/B86</f>
        <v>143.39166666666668</v>
      </c>
      <c r="C93" s="1"/>
      <c r="D93" s="2" t="s">
        <v>20</v>
      </c>
      <c r="E93" s="2">
        <f>SQRT(E88)</f>
        <v>4.8487111689597224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35">
      <c r="A94" s="3" t="s">
        <v>28</v>
      </c>
      <c r="B94" s="2">
        <f>B88/B86</f>
        <v>78.850000000000009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35">
      <c r="A95" s="2" t="s">
        <v>17</v>
      </c>
      <c r="B95" s="2">
        <f>B88*B88</f>
        <v>895294.44000000006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35">
      <c r="A99" s="1" t="s">
        <v>39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35">
      <c r="A102" s="2" t="s">
        <v>40</v>
      </c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</row>
    <row r="103" spans="1:16" x14ac:dyDescent="0.35">
      <c r="A103" s="2" t="s">
        <v>42</v>
      </c>
      <c r="B103" s="2" t="s">
        <v>41</v>
      </c>
      <c r="C103" s="2" t="s">
        <v>4</v>
      </c>
      <c r="D103" s="2" t="s">
        <v>5</v>
      </c>
      <c r="E103" s="2" t="s">
        <v>9</v>
      </c>
      <c r="F103" s="2" t="s">
        <v>6</v>
      </c>
      <c r="G103" s="2" t="s">
        <v>7</v>
      </c>
      <c r="H103" s="2" t="s">
        <v>8</v>
      </c>
      <c r="I103" s="1"/>
      <c r="J103" s="1"/>
      <c r="K103" s="1"/>
      <c r="L103" s="1"/>
      <c r="M103" s="1"/>
      <c r="N103" s="1"/>
      <c r="O103" s="1"/>
      <c r="P103" s="1"/>
    </row>
    <row r="104" spans="1:16" x14ac:dyDescent="0.35">
      <c r="A104" s="2">
        <v>158</v>
      </c>
      <c r="B104" s="2">
        <v>22.5</v>
      </c>
      <c r="C104" s="2">
        <f>A104*A104</f>
        <v>24964</v>
      </c>
      <c r="D104" s="2">
        <f>B104*B104</f>
        <v>506.25</v>
      </c>
      <c r="E104" s="2">
        <f>A104*B104</f>
        <v>3555</v>
      </c>
      <c r="F104" s="2">
        <f>A104-($B$121/$B$120)</f>
        <v>-5.8333333333333428</v>
      </c>
      <c r="G104" s="2">
        <f>B104-($B$122/$B$120)</f>
        <v>-2.4416666666666664</v>
      </c>
      <c r="H104" s="2">
        <f>F104*G104</f>
        <v>14.243055555555577</v>
      </c>
      <c r="I104" s="1"/>
      <c r="J104" s="1"/>
      <c r="K104" s="1"/>
      <c r="L104" s="1"/>
      <c r="M104" s="1"/>
      <c r="N104" s="1"/>
      <c r="O104" s="1"/>
      <c r="P104" s="1"/>
    </row>
    <row r="105" spans="1:16" x14ac:dyDescent="0.35">
      <c r="A105" s="2">
        <v>155</v>
      </c>
      <c r="B105" s="2">
        <v>22.8</v>
      </c>
      <c r="C105" s="2">
        <f t="shared" ref="C105:C115" si="18">A105*A105</f>
        <v>24025</v>
      </c>
      <c r="D105" s="2">
        <f t="shared" ref="D105:D115" si="19">B105*B105</f>
        <v>519.84</v>
      </c>
      <c r="E105" s="2">
        <f t="shared" ref="E105:E115" si="20">A105*B105</f>
        <v>3534</v>
      </c>
      <c r="F105" s="2">
        <f t="shared" ref="F105:F115" si="21">A105-($B$121/$B$120)</f>
        <v>-8.8333333333333428</v>
      </c>
      <c r="G105" s="2">
        <f t="shared" ref="G105:G115" si="22">B105-($B$122/$B$120)</f>
        <v>-2.1416666666666657</v>
      </c>
      <c r="H105" s="2">
        <f>F105*G105</f>
        <v>18.918055555555569</v>
      </c>
      <c r="I105" s="1"/>
      <c r="J105" s="1"/>
      <c r="K105" s="1"/>
      <c r="L105" s="1"/>
      <c r="M105" s="1"/>
      <c r="N105" s="1"/>
      <c r="O105" s="1"/>
      <c r="P105" s="1"/>
    </row>
    <row r="106" spans="1:16" x14ac:dyDescent="0.35">
      <c r="A106" s="2">
        <v>156</v>
      </c>
      <c r="B106" s="2">
        <v>22.8</v>
      </c>
      <c r="C106" s="2">
        <f t="shared" si="18"/>
        <v>24336</v>
      </c>
      <c r="D106" s="2">
        <f t="shared" si="19"/>
        <v>519.84</v>
      </c>
      <c r="E106" s="2">
        <f t="shared" si="20"/>
        <v>3556.8</v>
      </c>
      <c r="F106" s="2">
        <f t="shared" si="21"/>
        <v>-7.8333333333333428</v>
      </c>
      <c r="G106" s="2">
        <f t="shared" si="22"/>
        <v>-2.1416666666666657</v>
      </c>
      <c r="H106" s="2">
        <f t="shared" ref="H106:H115" si="23">F106*G106</f>
        <v>16.776388888888903</v>
      </c>
      <c r="I106" s="1"/>
      <c r="J106" s="1"/>
      <c r="K106" s="1"/>
      <c r="L106" s="1"/>
      <c r="M106" s="1"/>
      <c r="N106" s="1"/>
      <c r="O106" s="1"/>
      <c r="P106" s="1"/>
    </row>
    <row r="107" spans="1:16" x14ac:dyDescent="0.35">
      <c r="A107" s="2">
        <v>160</v>
      </c>
      <c r="B107" s="2">
        <v>23.3</v>
      </c>
      <c r="C107" s="2">
        <f t="shared" si="18"/>
        <v>25600</v>
      </c>
      <c r="D107" s="2">
        <f t="shared" si="19"/>
        <v>542.89</v>
      </c>
      <c r="E107" s="2">
        <f t="shared" si="20"/>
        <v>3728</v>
      </c>
      <c r="F107" s="2">
        <f t="shared" si="21"/>
        <v>-3.8333333333333428</v>
      </c>
      <c r="G107" s="2">
        <f t="shared" si="22"/>
        <v>-1.6416666666666657</v>
      </c>
      <c r="H107" s="2">
        <f t="shared" si="23"/>
        <v>6.2930555555555676</v>
      </c>
      <c r="I107" s="1"/>
      <c r="J107" s="1"/>
      <c r="K107" s="1"/>
      <c r="L107" s="1"/>
      <c r="M107" s="1"/>
      <c r="N107" s="1"/>
      <c r="O107" s="1"/>
      <c r="P107" s="1"/>
    </row>
    <row r="108" spans="1:16" x14ac:dyDescent="0.35">
      <c r="A108" s="2">
        <v>161</v>
      </c>
      <c r="B108" s="2">
        <v>23.3</v>
      </c>
      <c r="C108" s="2">
        <f t="shared" si="18"/>
        <v>25921</v>
      </c>
      <c r="D108" s="2">
        <f t="shared" si="19"/>
        <v>542.89</v>
      </c>
      <c r="E108" s="2">
        <f t="shared" si="20"/>
        <v>3751.3</v>
      </c>
      <c r="F108" s="2">
        <f t="shared" si="21"/>
        <v>-2.8333333333333428</v>
      </c>
      <c r="G108" s="2">
        <f t="shared" si="22"/>
        <v>-1.6416666666666657</v>
      </c>
      <c r="H108" s="2">
        <f t="shared" si="23"/>
        <v>4.6513888888889019</v>
      </c>
      <c r="I108" s="1"/>
      <c r="J108" s="1"/>
      <c r="K108" s="1"/>
      <c r="L108" s="1"/>
      <c r="M108" s="1"/>
      <c r="N108" s="1"/>
      <c r="O108" s="1"/>
      <c r="P108" s="1"/>
    </row>
    <row r="109" spans="1:16" x14ac:dyDescent="0.35">
      <c r="A109" s="2">
        <v>162</v>
      </c>
      <c r="B109" s="2">
        <v>24.4</v>
      </c>
      <c r="C109" s="2">
        <f t="shared" si="18"/>
        <v>26244</v>
      </c>
      <c r="D109" s="2">
        <f t="shared" si="19"/>
        <v>595.3599999999999</v>
      </c>
      <c r="E109" s="2">
        <f t="shared" si="20"/>
        <v>3952.7999999999997</v>
      </c>
      <c r="F109" s="2">
        <f t="shared" si="21"/>
        <v>-1.8333333333333428</v>
      </c>
      <c r="G109" s="2">
        <f t="shared" si="22"/>
        <v>-0.54166666666666785</v>
      </c>
      <c r="H109" s="2">
        <f t="shared" si="23"/>
        <v>0.99305555555556291</v>
      </c>
      <c r="I109" s="1"/>
      <c r="J109" s="1"/>
      <c r="K109" s="1"/>
      <c r="L109" s="1"/>
      <c r="M109" s="1"/>
      <c r="N109" s="1"/>
      <c r="O109" s="1"/>
      <c r="P109" s="1"/>
    </row>
    <row r="110" spans="1:16" x14ac:dyDescent="0.35">
      <c r="A110" s="2">
        <v>164</v>
      </c>
      <c r="B110" s="2">
        <v>25.8</v>
      </c>
      <c r="C110" s="2">
        <f t="shared" si="18"/>
        <v>26896</v>
      </c>
      <c r="D110" s="2">
        <f t="shared" si="19"/>
        <v>665.64</v>
      </c>
      <c r="E110" s="2">
        <f t="shared" si="20"/>
        <v>4231.2</v>
      </c>
      <c r="F110" s="2">
        <f t="shared" si="21"/>
        <v>0.16666666666665719</v>
      </c>
      <c r="G110" s="2">
        <f t="shared" si="22"/>
        <v>0.85833333333333428</v>
      </c>
      <c r="H110" s="2">
        <f t="shared" si="23"/>
        <v>0.14305555555554758</v>
      </c>
      <c r="I110" s="1"/>
      <c r="J110" s="1"/>
      <c r="K110" s="1"/>
      <c r="L110" s="1"/>
      <c r="M110" s="1"/>
      <c r="N110" s="1"/>
      <c r="O110" s="1"/>
      <c r="P110" s="1"/>
    </row>
    <row r="111" spans="1:16" x14ac:dyDescent="0.35">
      <c r="A111" s="2">
        <v>166</v>
      </c>
      <c r="B111" s="2">
        <v>25.9</v>
      </c>
      <c r="C111" s="2">
        <f t="shared" si="18"/>
        <v>27556</v>
      </c>
      <c r="D111" s="2">
        <f t="shared" si="19"/>
        <v>670.81</v>
      </c>
      <c r="E111" s="2">
        <f t="shared" si="20"/>
        <v>4299.3999999999996</v>
      </c>
      <c r="F111" s="2">
        <f t="shared" si="21"/>
        <v>2.1666666666666572</v>
      </c>
      <c r="G111" s="2">
        <f t="shared" si="22"/>
        <v>0.95833333333333215</v>
      </c>
      <c r="H111" s="2">
        <f t="shared" si="23"/>
        <v>2.0763888888888773</v>
      </c>
      <c r="I111" s="1"/>
      <c r="J111" s="1"/>
      <c r="K111" s="1"/>
      <c r="L111" s="1"/>
      <c r="M111" s="1"/>
      <c r="N111" s="1"/>
      <c r="O111" s="1"/>
      <c r="P111" s="1"/>
    </row>
    <row r="112" spans="1:16" x14ac:dyDescent="0.35">
      <c r="A112" s="2">
        <v>167</v>
      </c>
      <c r="B112" s="2">
        <v>26</v>
      </c>
      <c r="C112" s="2">
        <f t="shared" si="18"/>
        <v>27889</v>
      </c>
      <c r="D112" s="2">
        <f t="shared" si="19"/>
        <v>676</v>
      </c>
      <c r="E112" s="2">
        <f t="shared" si="20"/>
        <v>4342</v>
      </c>
      <c r="F112" s="2">
        <f t="shared" si="21"/>
        <v>3.1666666666666572</v>
      </c>
      <c r="G112" s="2">
        <f t="shared" si="22"/>
        <v>1.0583333333333336</v>
      </c>
      <c r="H112" s="2">
        <f t="shared" si="23"/>
        <v>3.3513888888888794</v>
      </c>
      <c r="I112" s="1"/>
      <c r="J112" s="1"/>
      <c r="K112" s="1"/>
      <c r="L112" s="1"/>
      <c r="M112" s="1"/>
      <c r="N112" s="1"/>
      <c r="O112" s="1"/>
      <c r="P112" s="1"/>
    </row>
    <row r="113" spans="1:16" x14ac:dyDescent="0.35">
      <c r="A113" s="2">
        <v>170</v>
      </c>
      <c r="B113" s="2">
        <v>26.8</v>
      </c>
      <c r="C113" s="2">
        <f t="shared" si="18"/>
        <v>28900</v>
      </c>
      <c r="D113" s="2">
        <f t="shared" si="19"/>
        <v>718.24</v>
      </c>
      <c r="E113" s="2">
        <f t="shared" si="20"/>
        <v>4556</v>
      </c>
      <c r="F113" s="2">
        <f t="shared" si="21"/>
        <v>6.1666666666666572</v>
      </c>
      <c r="G113" s="2">
        <f t="shared" si="22"/>
        <v>1.8583333333333343</v>
      </c>
      <c r="H113" s="2">
        <f t="shared" si="23"/>
        <v>11.45972222222221</v>
      </c>
      <c r="I113" s="1"/>
      <c r="J113" s="1"/>
      <c r="K113" s="1"/>
      <c r="L113" s="1"/>
      <c r="M113" s="1"/>
      <c r="N113" s="1"/>
      <c r="O113" s="1"/>
      <c r="P113" s="1"/>
    </row>
    <row r="114" spans="1:16" x14ac:dyDescent="0.35">
      <c r="A114" s="2">
        <v>173</v>
      </c>
      <c r="B114" s="2">
        <v>28.2</v>
      </c>
      <c r="C114" s="2">
        <f t="shared" si="18"/>
        <v>29929</v>
      </c>
      <c r="D114" s="2">
        <f t="shared" si="19"/>
        <v>795.24</v>
      </c>
      <c r="E114" s="2">
        <f t="shared" si="20"/>
        <v>4878.5999999999995</v>
      </c>
      <c r="F114" s="2">
        <f t="shared" si="21"/>
        <v>9.1666666666666572</v>
      </c>
      <c r="G114" s="2">
        <f t="shared" si="22"/>
        <v>3.2583333333333329</v>
      </c>
      <c r="H114" s="2">
        <f t="shared" si="23"/>
        <v>29.868055555555522</v>
      </c>
      <c r="I114" s="1"/>
      <c r="J114" s="1"/>
      <c r="K114" s="1"/>
      <c r="L114" s="1"/>
      <c r="M114" s="1"/>
      <c r="N114" s="1"/>
      <c r="O114" s="1"/>
      <c r="P114" s="1"/>
    </row>
    <row r="115" spans="1:16" x14ac:dyDescent="0.35">
      <c r="A115" s="2">
        <v>174</v>
      </c>
      <c r="B115" s="2">
        <v>27.5</v>
      </c>
      <c r="C115" s="2">
        <f t="shared" si="18"/>
        <v>30276</v>
      </c>
      <c r="D115" s="2">
        <f t="shared" si="19"/>
        <v>756.25</v>
      </c>
      <c r="E115" s="2">
        <f t="shared" si="20"/>
        <v>4785</v>
      </c>
      <c r="F115" s="2">
        <f t="shared" si="21"/>
        <v>10.166666666666657</v>
      </c>
      <c r="G115" s="2">
        <f t="shared" si="22"/>
        <v>2.5583333333333336</v>
      </c>
      <c r="H115" s="2">
        <f t="shared" si="23"/>
        <v>26.009722222222202</v>
      </c>
      <c r="I115" s="1"/>
      <c r="J115" s="1"/>
      <c r="K115" s="1"/>
      <c r="L115" s="1"/>
      <c r="M115" s="1"/>
      <c r="N115" s="1"/>
      <c r="O115" s="1"/>
      <c r="P115" s="1"/>
    </row>
    <row r="116" spans="1:16" x14ac:dyDescent="0.35">
      <c r="A116" s="2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</row>
    <row r="117" spans="1:16" x14ac:dyDescent="0.35">
      <c r="A117" s="2">
        <f>SUM(A104:A115)</f>
        <v>1966</v>
      </c>
      <c r="B117" s="2">
        <f>SUM(B104:B115)</f>
        <v>299.3</v>
      </c>
      <c r="C117" s="2">
        <f>SUM(C104:C115)</f>
        <v>322536</v>
      </c>
      <c r="D117" s="2">
        <f>SUM(D104:D115)</f>
        <v>7509.2499999999991</v>
      </c>
      <c r="E117" s="2">
        <f>SUM(E104:E115)</f>
        <v>49170.1</v>
      </c>
      <c r="F117" s="2"/>
      <c r="G117" s="2"/>
      <c r="H117" s="2">
        <f>SUM(H104:H115)</f>
        <v>134.7833333333333</v>
      </c>
      <c r="I117" s="1"/>
      <c r="J117" s="1"/>
      <c r="K117" s="1"/>
      <c r="L117" s="1"/>
      <c r="M117" s="1"/>
      <c r="N117" s="1"/>
      <c r="O117" s="1"/>
      <c r="P117" s="1"/>
    </row>
    <row r="118" spans="1:1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35">
      <c r="A120" s="2" t="s">
        <v>10</v>
      </c>
      <c r="B120" s="2">
        <v>12</v>
      </c>
      <c r="C120" s="1"/>
      <c r="D120" s="2" t="s">
        <v>14</v>
      </c>
      <c r="E120" s="2">
        <f>B123-B126/B120</f>
        <v>439.66666666668607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35">
      <c r="A121" s="3" t="s">
        <v>22</v>
      </c>
      <c r="B121" s="2">
        <f>SUM(A104:A115)</f>
        <v>1966</v>
      </c>
      <c r="C121" s="1"/>
      <c r="D121" s="2" t="s">
        <v>15</v>
      </c>
      <c r="E121" s="2">
        <f>B125-(B121*B122/B120)</f>
        <v>134.78333333332557</v>
      </c>
      <c r="F121" s="1"/>
      <c r="G121" s="1"/>
      <c r="H121" s="1"/>
      <c r="I121" s="1"/>
      <c r="J121" s="2" t="s">
        <v>11</v>
      </c>
      <c r="K121" s="2"/>
      <c r="L121" s="2"/>
      <c r="M121" s="2"/>
      <c r="N121" s="1"/>
      <c r="O121" s="1"/>
      <c r="P121" s="1"/>
    </row>
    <row r="122" spans="1:16" x14ac:dyDescent="0.35">
      <c r="A122" s="2" t="s">
        <v>23</v>
      </c>
      <c r="B122" s="2">
        <f>SUM(B104:B115)</f>
        <v>299.3</v>
      </c>
      <c r="C122" s="1"/>
      <c r="D122" s="2" t="s">
        <v>16</v>
      </c>
      <c r="E122" s="2">
        <f>B124-B129/B120</f>
        <v>44.209166666665624</v>
      </c>
      <c r="F122" s="1"/>
      <c r="G122" s="1"/>
      <c r="H122" s="1"/>
      <c r="I122" s="1"/>
      <c r="J122" s="2" t="s">
        <v>12</v>
      </c>
      <c r="K122" s="2"/>
      <c r="L122" s="2"/>
      <c r="M122" s="2"/>
      <c r="N122" s="1"/>
      <c r="O122" s="1"/>
      <c r="P122" s="1"/>
    </row>
    <row r="123" spans="1:16" x14ac:dyDescent="0.35">
      <c r="A123" s="2" t="s">
        <v>24</v>
      </c>
      <c r="B123" s="2">
        <f>SUM(C104:C115)</f>
        <v>322536</v>
      </c>
      <c r="C123" s="1"/>
      <c r="D123" s="2" t="s">
        <v>29</v>
      </c>
      <c r="E123" s="2">
        <f>E121/E120</f>
        <v>0.3065579984836686</v>
      </c>
      <c r="F123" s="1"/>
      <c r="G123" s="1"/>
      <c r="H123" s="1"/>
      <c r="I123" s="1"/>
      <c r="J123" s="2" t="s">
        <v>13</v>
      </c>
      <c r="K123" s="2">
        <f>E121/(E126*E127)</f>
        <v>0.96675907611289902</v>
      </c>
      <c r="L123" s="2"/>
      <c r="M123" s="2"/>
      <c r="N123" s="1"/>
      <c r="O123" s="1"/>
      <c r="P123" s="1"/>
    </row>
    <row r="124" spans="1:16" x14ac:dyDescent="0.35">
      <c r="A124" s="1" t="s">
        <v>18</v>
      </c>
      <c r="B124" s="1">
        <f>SUM(D104:D115)</f>
        <v>7509.2499999999991</v>
      </c>
      <c r="C124" s="1"/>
      <c r="D124" s="2" t="s">
        <v>35</v>
      </c>
      <c r="E124" s="2">
        <f>B128-E123*B127</f>
        <v>-25.28275208490771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35">
      <c r="A125" s="2" t="s">
        <v>25</v>
      </c>
      <c r="B125" s="2">
        <f>SUM(E104:E115)</f>
        <v>49170.1</v>
      </c>
      <c r="C125" s="1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35">
      <c r="A126" s="2" t="s">
        <v>26</v>
      </c>
      <c r="B126" s="2">
        <f>B121*B121</f>
        <v>3865156</v>
      </c>
      <c r="C126" s="1"/>
      <c r="D126" s="2" t="s">
        <v>19</v>
      </c>
      <c r="E126" s="2">
        <f>SQRT(E120)</f>
        <v>20.968229936422532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35">
      <c r="A127" s="3" t="s">
        <v>27</v>
      </c>
      <c r="B127" s="2">
        <f>B121/B120</f>
        <v>163.83333333333334</v>
      </c>
      <c r="C127" s="1"/>
      <c r="D127" s="2" t="s">
        <v>20</v>
      </c>
      <c r="E127" s="2">
        <f>SQRT(E122)</f>
        <v>6.6489974181575393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35">
      <c r="A128" s="3" t="s">
        <v>28</v>
      </c>
      <c r="B128" s="2">
        <f>B122/B120</f>
        <v>24.941666666666666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35">
      <c r="A129" s="2" t="s">
        <v>17</v>
      </c>
      <c r="B129" s="2">
        <f>B122*B122</f>
        <v>89580.49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SBSC</dc:creator>
  <cp:lastModifiedBy>Ibrahim Khan</cp:lastModifiedBy>
  <dcterms:created xsi:type="dcterms:W3CDTF">2025-11-13T04:37:50Z</dcterms:created>
  <dcterms:modified xsi:type="dcterms:W3CDTF">2025-11-19T17:30:13Z</dcterms:modified>
</cp:coreProperties>
</file>