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7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8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brahim\OneDrive\Desktop\kasim probab and stats\"/>
    </mc:Choice>
  </mc:AlternateContent>
  <xr:revisionPtr revIDLastSave="0" documentId="13_ncr:1_{9ACBCBD9-02DF-41FB-8BCF-60753C260590}" xr6:coauthVersionLast="47" xr6:coauthVersionMax="47" xr10:uidLastSave="{00000000-0000-0000-0000-000000000000}"/>
  <bookViews>
    <workbookView xWindow="-110" yWindow="-110" windowWidth="19420" windowHeight="10420" firstSheet="2" activeTab="2" xr2:uid="{239A8E06-927B-4AB8-9424-7496C8D45CE7}"/>
  </bookViews>
  <sheets>
    <sheet name="STEM AND LEAF PLOT " sheetId="4" r:id="rId1"/>
    <sheet name="DOT PLOT" sheetId="3" r:id="rId2"/>
    <sheet name="BOX PLOT( BOX AND WHISKER PLOT)" sheetId="2" r:id="rId3"/>
  </sheets>
  <definedNames>
    <definedName name="_xlnm._FilterDatabase" localSheetId="0" hidden="1">'STEM AND LEAF PLOT '!$S$4:$S$5</definedName>
    <definedName name="_xlchart.v1.0" hidden="1">'BOX PLOT( BOX AND WHISKER PLOT)'!$S$56</definedName>
    <definedName name="_xlchart.v1.1" hidden="1">'BOX PLOT( BOX AND WHISKER PLOT)'!$S$57:$S$61</definedName>
    <definedName name="_xlchart.v1.10" hidden="1">'BOX PLOT( BOX AND WHISKER PLOT)'!$A$54</definedName>
    <definedName name="_xlchart.v1.11" hidden="1">'BOX PLOT( BOX AND WHISKER PLOT)'!$A$55:$A$65</definedName>
    <definedName name="_xlchart.v1.12" hidden="1">'BOX PLOT( BOX AND WHISKER PLOT)'!$B$54</definedName>
    <definedName name="_xlchart.v1.13" hidden="1">'BOX PLOT( BOX AND WHISKER PLOT)'!$B$55:$B$65</definedName>
    <definedName name="_xlchart.v1.14" hidden="1">'BOX PLOT( BOX AND WHISKER PLOT)'!$J$54</definedName>
    <definedName name="_xlchart.v1.15" hidden="1">'BOX PLOT( BOX AND WHISKER PLOT)'!$J$55:$J$59</definedName>
    <definedName name="_xlchart.v1.16" hidden="1">'BOX PLOT( BOX AND WHISKER PLOT)'!$K$54</definedName>
    <definedName name="_xlchart.v1.17" hidden="1">'BOX PLOT( BOX AND WHISKER PLOT)'!$K$55:$K$59</definedName>
    <definedName name="_xlchart.v1.18" hidden="1">'BOX PLOT( BOX AND WHISKER PLOT)'!$L$54</definedName>
    <definedName name="_xlchart.v1.19" hidden="1">'BOX PLOT( BOX AND WHISKER PLOT)'!$L$55:$L$59</definedName>
    <definedName name="_xlchart.v1.2" hidden="1">'BOX PLOT( BOX AND WHISKER PLOT)'!$T$56</definedName>
    <definedName name="_xlchart.v1.20" hidden="1">'BOX PLOT( BOX AND WHISKER PLOT)'!$AV$7:$AV$15</definedName>
    <definedName name="_xlchart.v1.21" hidden="1">'BOX PLOT( BOX AND WHISKER PLOT)'!$AH$4:$AH$12</definedName>
    <definedName name="_xlchart.v1.22" hidden="1">'BOX PLOT( BOX AND WHISKER PLOT)'!$D$11:$D$19</definedName>
    <definedName name="_xlchart.v1.23" hidden="1">'BOX PLOT( BOX AND WHISKER PLOT)'!$S$56</definedName>
    <definedName name="_xlchart.v1.24" hidden="1">'BOX PLOT( BOX AND WHISKER PLOT)'!$S$57:$S$61</definedName>
    <definedName name="_xlchart.v1.25" hidden="1">'BOX PLOT( BOX AND WHISKER PLOT)'!$T$56</definedName>
    <definedName name="_xlchart.v1.26" hidden="1">'BOX PLOT( BOX AND WHISKER PLOT)'!$T$57:$T$61</definedName>
    <definedName name="_xlchart.v1.27" hidden="1">'BOX PLOT( BOX AND WHISKER PLOT)'!$U$56</definedName>
    <definedName name="_xlchart.v1.28" hidden="1">'BOX PLOT( BOX AND WHISKER PLOT)'!$U$57:$U$61</definedName>
    <definedName name="_xlchart.v1.29" hidden="1">'BOX PLOT( BOX AND WHISKER PLOT)'!$S$6:$S$14</definedName>
    <definedName name="_xlchart.v1.3" hidden="1">'BOX PLOT( BOX AND WHISKER PLOT)'!$T$57:$T$61</definedName>
    <definedName name="_xlchart.v1.4" hidden="1">'BOX PLOT( BOX AND WHISKER PLOT)'!$U$56</definedName>
    <definedName name="_xlchart.v1.5" hidden="1">'BOX PLOT( BOX AND WHISKER PLOT)'!$U$57:$U$61</definedName>
    <definedName name="_xlchart.v1.6" hidden="1">'BOX PLOT( BOX AND WHISKER PLOT)'!$AE$56</definedName>
    <definedName name="_xlchart.v1.7" hidden="1">'BOX PLOT( BOX AND WHISKER PLOT)'!$AE$57:$AE$66</definedName>
    <definedName name="_xlchart.v1.8" hidden="1">'BOX PLOT( BOX AND WHISKER PLOT)'!$AF$56</definedName>
    <definedName name="_xlchart.v1.9" hidden="1">'BOX PLOT( BOX AND WHISKER PLOT)'!$AF$57:$AF$66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AV7" i="2" a="1"/>
  <c r="AV7" i="2"/>
  <c r="S6" i="2" a="1"/>
  <c r="S6" i="2"/>
  <c r="X4" i="3" l="1" a="1"/>
  <c r="X4" i="3"/>
  <c r="M4" i="3" a="1"/>
  <c r="M4" i="3"/>
  <c r="AV10" i="2" a="1"/>
  <c r="AV10" i="2"/>
  <c r="AV12" i="2" a="1"/>
  <c r="AV12" i="2"/>
  <c r="AV11" i="2" a="1"/>
  <c r="AV11" i="2"/>
  <c r="D13" i="2" a="1"/>
  <c r="D13" i="2"/>
  <c r="S8" i="2"/>
  <c r="AH5" i="2" a="1"/>
  <c r="AH5" i="2"/>
  <c r="AV9" i="2"/>
  <c r="AV8" i="2"/>
  <c r="D19" i="2" a="1"/>
  <c r="D17" i="2" a="1"/>
  <c r="D16" i="2" a="1"/>
  <c r="D16" i="2"/>
  <c r="D15" i="2" a="1"/>
  <c r="D15" i="2"/>
  <c r="D14" i="2" a="1"/>
  <c r="D14" i="2"/>
  <c r="D12" i="2" a="1"/>
  <c r="D12" i="2"/>
  <c r="D11" i="2" a="1"/>
  <c r="D11" i="2"/>
  <c r="AI4" i="3"/>
  <c r="M5" i="3"/>
  <c r="X5" i="3"/>
  <c r="AI5" i="3"/>
  <c r="M6" i="3"/>
  <c r="X6" i="3"/>
  <c r="AI6" i="3"/>
  <c r="M7" i="3"/>
  <c r="AI7" i="3"/>
  <c r="M8" i="3"/>
  <c r="X8" i="3"/>
  <c r="AI8" i="3"/>
  <c r="M9" i="3"/>
  <c r="X9" i="3"/>
  <c r="AI9" i="3"/>
  <c r="M10" i="3"/>
  <c r="X10" i="3"/>
  <c r="AI10" i="3"/>
  <c r="M11" i="3"/>
  <c r="X11" i="3"/>
  <c r="AI11" i="3"/>
  <c r="M12" i="3"/>
  <c r="X12" i="3"/>
  <c r="AI12" i="3"/>
  <c r="M13" i="3"/>
  <c r="X13" i="3"/>
  <c r="AI13" i="3"/>
  <c r="M14" i="3"/>
  <c r="X14" i="3"/>
  <c r="AI14" i="3"/>
  <c r="M15" i="3"/>
  <c r="X15" i="3"/>
  <c r="AI15" i="3"/>
  <c r="M16" i="3"/>
  <c r="X16" i="3"/>
  <c r="AI16" i="3"/>
  <c r="M17" i="3"/>
  <c r="X17" i="3"/>
  <c r="AI17" i="3"/>
  <c r="M18" i="3"/>
  <c r="X18" i="3"/>
  <c r="AI18" i="3"/>
  <c r="M19" i="3"/>
  <c r="X19" i="3"/>
  <c r="AI19" i="3"/>
  <c r="M20" i="3"/>
  <c r="X20" i="3"/>
  <c r="AI20" i="3"/>
  <c r="M21" i="3"/>
  <c r="X21" i="3"/>
  <c r="AI21" i="3"/>
  <c r="M22" i="3"/>
  <c r="X22" i="3"/>
  <c r="AI22" i="3"/>
  <c r="M23" i="3"/>
  <c r="X23" i="3"/>
  <c r="AI23" i="3"/>
  <c r="M24" i="3"/>
  <c r="X24" i="3"/>
  <c r="AI24" i="3"/>
  <c r="M25" i="3"/>
  <c r="X25" i="3"/>
  <c r="AI25" i="3"/>
  <c r="M26" i="3"/>
  <c r="X26" i="3"/>
  <c r="AI26" i="3"/>
  <c r="M27" i="3"/>
  <c r="AH4" i="2"/>
  <c r="AH6" i="2"/>
  <c r="S7" i="2"/>
  <c r="AH7" i="2"/>
  <c r="AH8" i="2"/>
  <c r="S9" i="2"/>
  <c r="S12" i="2" s="1"/>
  <c r="AH9" i="2"/>
  <c r="S10" i="2"/>
  <c r="AH10" i="2"/>
  <c r="S11" i="2"/>
  <c r="AH11" i="2"/>
  <c r="AH12" i="2"/>
  <c r="S13" i="2"/>
  <c r="S14" i="2"/>
  <c r="AV13" i="2" l="1"/>
  <c r="AV15" i="2" s="1"/>
  <c r="AV14" i="2"/>
  <c r="D17" i="2"/>
  <c r="X7" i="3"/>
  <c r="D18" i="2" l="1"/>
  <c r="D19" i="2"/>
</calcChain>
</file>

<file path=xl/sharedStrings.xml><?xml version="1.0" encoding="utf-8"?>
<sst xmlns="http://schemas.openxmlformats.org/spreadsheetml/2006/main" count="116" uniqueCount="60">
  <si>
    <t>Marks</t>
  </si>
  <si>
    <t>LEAF</t>
  </si>
  <si>
    <t>STEM</t>
  </si>
  <si>
    <t>MARKS</t>
  </si>
  <si>
    <t>UPPER LIMIT</t>
  </si>
  <si>
    <t>LOWER LIMIT</t>
  </si>
  <si>
    <t>IQR</t>
  </si>
  <si>
    <t>MEAN</t>
  </si>
  <si>
    <t>MAX</t>
  </si>
  <si>
    <t>Q3</t>
  </si>
  <si>
    <t>MED</t>
  </si>
  <si>
    <t>Q1</t>
  </si>
  <si>
    <t>MIN</t>
  </si>
  <si>
    <t>EMPLOYEES</t>
  </si>
  <si>
    <t>MEASUREMENT</t>
  </si>
  <si>
    <t>SCORE</t>
  </si>
  <si>
    <t>Count</t>
  </si>
  <si>
    <t>Counts</t>
  </si>
  <si>
    <t xml:space="preserve">Marks </t>
  </si>
  <si>
    <t xml:space="preserve">NUMBERS </t>
  </si>
  <si>
    <t xml:space="preserve">MAX </t>
  </si>
  <si>
    <t>MEDIAN</t>
  </si>
  <si>
    <t xml:space="preserve">LOWER QUARTILE </t>
  </si>
  <si>
    <t xml:space="preserve">UPPER QUARTILE </t>
  </si>
  <si>
    <t>EXAMPLE-1</t>
  </si>
  <si>
    <t>SCORE OF STUDENTS</t>
  </si>
  <si>
    <t>FEMALE STUDENT SCORE</t>
  </si>
  <si>
    <t>EXAMPLE-2</t>
  </si>
  <si>
    <t>MALE STUDENT SCORE</t>
  </si>
  <si>
    <t xml:space="preserve">CHARITY DONATION IN LAKHS </t>
  </si>
  <si>
    <t>SORTED</t>
  </si>
  <si>
    <t>EXAMPLE -3</t>
  </si>
  <si>
    <t xml:space="preserve">EXAMPLE -4 </t>
  </si>
  <si>
    <t>SORTED DATA</t>
  </si>
  <si>
    <t>RAW DATA</t>
  </si>
  <si>
    <t xml:space="preserve">RAW DATA </t>
  </si>
  <si>
    <t xml:space="preserve">SORTED DATA </t>
  </si>
  <si>
    <t>PRICE  OF TEA</t>
  </si>
  <si>
    <t>BOX PLOTS</t>
  </si>
  <si>
    <t xml:space="preserve">Example -1 </t>
  </si>
  <si>
    <t>SCORES</t>
  </si>
  <si>
    <t>SECTION A</t>
  </si>
  <si>
    <t>SECTION B</t>
  </si>
  <si>
    <t>Example-2</t>
  </si>
  <si>
    <t>BRANDS</t>
  </si>
  <si>
    <t>BRAND A</t>
  </si>
  <si>
    <t>BRAND C</t>
  </si>
  <si>
    <t xml:space="preserve">BRAND B </t>
  </si>
  <si>
    <t>EXAMPLE-3</t>
  </si>
  <si>
    <t>COMPANY    A</t>
  </si>
  <si>
    <t>COMPANY    B</t>
  </si>
  <si>
    <t xml:space="preserve">COMPANY  EARNING IN LAKHS </t>
  </si>
  <si>
    <t>EXAMPLE -4</t>
  </si>
  <si>
    <t xml:space="preserve">PRICE OF TEA </t>
  </si>
  <si>
    <t>TEA    A</t>
  </si>
  <si>
    <t xml:space="preserve">TEA     B </t>
  </si>
  <si>
    <t>BOX AND WHISKER PLOT</t>
  </si>
  <si>
    <t>COMPANY   C</t>
  </si>
  <si>
    <t>DOT PLOTS</t>
  </si>
  <si>
    <t>STEM AND LEAF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</si>
</sst>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8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name val="Calibri"/>
      <family val="2"/>
      <scheme val="minor"/>
    </font>
    <font>
      <b/>
      <sz val="48"/>
      <name val="Calibri"/>
      <family val="2"/>
      <scheme val="minor"/>
    </font>
    <font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1" xfId="0" applyBorder="1"/>
    <xf numFmtId="0" fontId="1" fillId="0" borderId="0" xfId="1"/>
    <xf numFmtId="0" fontId="2" fillId="0" borderId="0" xfId="1" applyFont="1"/>
    <xf numFmtId="0" fontId="2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8" borderId="4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0" fillId="10" borderId="0" xfId="0" applyFill="1"/>
    <xf numFmtId="0" fontId="0" fillId="10" borderId="2" xfId="0" applyFill="1" applyBorder="1"/>
    <xf numFmtId="0" fontId="0" fillId="5" borderId="0" xfId="0" applyFill="1"/>
    <xf numFmtId="0" fontId="0" fillId="0" borderId="5" xfId="0" applyBorder="1"/>
    <xf numFmtId="0" fontId="0" fillId="14" borderId="0" xfId="0" applyFill="1"/>
    <xf numFmtId="0" fontId="0" fillId="14" borderId="2" xfId="0" applyFill="1" applyBorder="1"/>
    <xf numFmtId="0" fontId="2" fillId="12" borderId="2" xfId="0" applyFont="1" applyFill="1" applyBorder="1"/>
    <xf numFmtId="0" fontId="2" fillId="15" borderId="3" xfId="0" applyFont="1" applyFill="1" applyBorder="1"/>
    <xf numFmtId="0" fontId="0" fillId="15" borderId="0" xfId="0" applyFill="1"/>
    <xf numFmtId="0" fontId="0" fillId="15" borderId="3" xfId="0" applyFill="1" applyBorder="1"/>
    <xf numFmtId="0" fontId="2" fillId="16" borderId="4" xfId="0" applyFont="1" applyFill="1" applyBorder="1"/>
    <xf numFmtId="0" fontId="2" fillId="17" borderId="3" xfId="0" applyFont="1" applyFill="1" applyBorder="1"/>
    <xf numFmtId="0" fontId="0" fillId="17" borderId="0" xfId="0" applyFill="1"/>
    <xf numFmtId="0" fontId="0" fillId="17" borderId="2" xfId="0" applyFill="1" applyBorder="1"/>
    <xf numFmtId="0" fontId="0" fillId="17" borderId="3" xfId="0" applyFill="1" applyBorder="1"/>
    <xf numFmtId="0" fontId="2" fillId="3" borderId="4" xfId="0" applyFont="1" applyFill="1" applyBorder="1"/>
    <xf numFmtId="0" fontId="2" fillId="5" borderId="3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2" fillId="0" borderId="1" xfId="0" applyFont="1" applyBorder="1"/>
    <xf numFmtId="0" fontId="2" fillId="19" borderId="1" xfId="0" applyFont="1" applyFill="1" applyBorder="1"/>
    <xf numFmtId="0" fontId="2" fillId="2" borderId="1" xfId="0" applyFont="1" applyFill="1" applyBorder="1"/>
    <xf numFmtId="0" fontId="2" fillId="0" borderId="1" xfId="1" applyFont="1" applyBorder="1"/>
    <xf numFmtId="0" fontId="1" fillId="0" borderId="1" xfId="1" applyBorder="1"/>
    <xf numFmtId="0" fontId="0" fillId="8" borderId="1" xfId="0" applyFill="1" applyBorder="1"/>
    <xf numFmtId="0" fontId="0" fillId="0" borderId="2" xfId="0" applyBorder="1"/>
    <xf numFmtId="0" fontId="0" fillId="12" borderId="1" xfId="0" applyFill="1" applyBorder="1"/>
    <xf numFmtId="0" fontId="0" fillId="21" borderId="1" xfId="0" applyFill="1" applyBorder="1"/>
    <xf numFmtId="0" fontId="0" fillId="19" borderId="1" xfId="0" applyFill="1" applyBorder="1"/>
    <xf numFmtId="0" fontId="2" fillId="8" borderId="0" xfId="0" applyFont="1" applyFill="1"/>
    <xf numFmtId="0" fontId="2" fillId="3" borderId="0" xfId="0" applyFont="1" applyFill="1"/>
    <xf numFmtId="0" fontId="2" fillId="6" borderId="0" xfId="0" applyFont="1" applyFill="1"/>
    <xf numFmtId="0" fontId="0" fillId="7" borderId="0" xfId="0" applyFill="1"/>
    <xf numFmtId="0" fontId="0" fillId="13" borderId="0" xfId="0" applyFill="1"/>
    <xf numFmtId="0" fontId="2" fillId="18" borderId="0" xfId="0" applyFont="1" applyFill="1"/>
    <xf numFmtId="0" fontId="2" fillId="2" borderId="0" xfId="0" applyFont="1" applyFill="1"/>
    <xf numFmtId="0" fontId="0" fillId="18" borderId="1" xfId="0" applyFill="1" applyBorder="1"/>
    <xf numFmtId="0" fontId="3" fillId="8" borderId="0" xfId="0" applyFont="1" applyFill="1"/>
    <xf numFmtId="0" fontId="5" fillId="8" borderId="0" xfId="1" applyFont="1" applyFill="1"/>
    <xf numFmtId="0" fontId="7" fillId="0" borderId="0" xfId="1" applyFont="1"/>
    <xf numFmtId="0" fontId="6" fillId="20" borderId="0" xfId="1" applyFont="1" applyFill="1"/>
    <xf numFmtId="0" fontId="4" fillId="8" borderId="0" xfId="0" applyFont="1" applyFill="1"/>
    <xf numFmtId="0" fontId="0" fillId="8" borderId="2" xfId="0" applyFill="1" applyBorder="1"/>
    <xf numFmtId="0" fontId="0" fillId="11" borderId="0" xfId="0" applyFill="1"/>
  </cellXfs>
  <cellStyles count="2">
    <cellStyle name="Normal" xfId="0" builtinId="0"/>
    <cellStyle name="Normal 2" xfId="1" xr:uid="{218C17D1-141B-4F35-85DA-9806E7CDFAAB}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 PLOTS 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'DOT PLOT'!$A$4:$A$27</c:f>
              <c:numCache>
                <c:formatCode>General</c:formatCode>
                <c:ptCount val="24"/>
                <c:pt idx="0">
                  <c:v>17</c:v>
                </c:pt>
                <c:pt idx="1">
                  <c:v>35</c:v>
                </c:pt>
                <c:pt idx="2">
                  <c:v>20</c:v>
                </c:pt>
                <c:pt idx="3">
                  <c:v>60</c:v>
                </c:pt>
                <c:pt idx="4">
                  <c:v>66</c:v>
                </c:pt>
                <c:pt idx="5">
                  <c:v>9</c:v>
                </c:pt>
                <c:pt idx="6">
                  <c:v>65</c:v>
                </c:pt>
                <c:pt idx="7">
                  <c:v>8</c:v>
                </c:pt>
                <c:pt idx="8">
                  <c:v>44</c:v>
                </c:pt>
                <c:pt idx="9">
                  <c:v>57</c:v>
                </c:pt>
                <c:pt idx="10">
                  <c:v>50</c:v>
                </c:pt>
                <c:pt idx="11">
                  <c:v>68</c:v>
                </c:pt>
                <c:pt idx="12">
                  <c:v>21</c:v>
                </c:pt>
                <c:pt idx="13">
                  <c:v>32</c:v>
                </c:pt>
                <c:pt idx="14">
                  <c:v>15</c:v>
                </c:pt>
                <c:pt idx="15">
                  <c:v>56</c:v>
                </c:pt>
                <c:pt idx="16">
                  <c:v>61</c:v>
                </c:pt>
                <c:pt idx="17">
                  <c:v>61</c:v>
                </c:pt>
                <c:pt idx="18">
                  <c:v>43</c:v>
                </c:pt>
                <c:pt idx="19">
                  <c:v>60</c:v>
                </c:pt>
                <c:pt idx="20">
                  <c:v>52</c:v>
                </c:pt>
                <c:pt idx="21">
                  <c:v>53</c:v>
                </c:pt>
                <c:pt idx="22">
                  <c:v>69</c:v>
                </c:pt>
                <c:pt idx="23">
                  <c:v>51</c:v>
                </c:pt>
              </c:numCache>
            </c:numRef>
          </c:xVal>
          <c:yVal>
            <c:numRef>
              <c:f>'DOT PLOT'!$B$4:$B$27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37-4677-BDCC-84083C2AC9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7534384"/>
        <c:axId val="337533424"/>
      </c:scatterChart>
      <c:valAx>
        <c:axId val="33753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33424"/>
        <c:crosses val="autoZero"/>
        <c:crossBetween val="midCat"/>
      </c:valAx>
      <c:valAx>
        <c:axId val="3375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343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rgbClr val="00B0F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 PLOTS</a:t>
            </a:r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'DOT PLOT'!$L$4:$L$27</c:f>
              <c:numCache>
                <c:formatCode>General</c:formatCode>
                <c:ptCount val="24"/>
                <c:pt idx="0">
                  <c:v>29</c:v>
                </c:pt>
                <c:pt idx="1">
                  <c:v>65</c:v>
                </c:pt>
                <c:pt idx="2">
                  <c:v>50</c:v>
                </c:pt>
                <c:pt idx="3">
                  <c:v>65</c:v>
                </c:pt>
                <c:pt idx="4">
                  <c:v>28</c:v>
                </c:pt>
                <c:pt idx="5">
                  <c:v>50</c:v>
                </c:pt>
                <c:pt idx="6">
                  <c:v>24</c:v>
                </c:pt>
                <c:pt idx="7">
                  <c:v>59</c:v>
                </c:pt>
                <c:pt idx="8">
                  <c:v>16</c:v>
                </c:pt>
                <c:pt idx="9">
                  <c:v>65</c:v>
                </c:pt>
                <c:pt idx="10">
                  <c:v>38</c:v>
                </c:pt>
                <c:pt idx="11">
                  <c:v>69</c:v>
                </c:pt>
                <c:pt idx="12">
                  <c:v>68</c:v>
                </c:pt>
                <c:pt idx="13">
                  <c:v>18</c:v>
                </c:pt>
                <c:pt idx="14">
                  <c:v>66</c:v>
                </c:pt>
                <c:pt idx="15">
                  <c:v>46</c:v>
                </c:pt>
                <c:pt idx="16">
                  <c:v>60</c:v>
                </c:pt>
                <c:pt idx="17">
                  <c:v>54</c:v>
                </c:pt>
                <c:pt idx="18">
                  <c:v>28</c:v>
                </c:pt>
                <c:pt idx="19">
                  <c:v>39</c:v>
                </c:pt>
                <c:pt idx="20">
                  <c:v>70</c:v>
                </c:pt>
                <c:pt idx="21">
                  <c:v>75</c:v>
                </c:pt>
                <c:pt idx="22">
                  <c:v>61</c:v>
                </c:pt>
                <c:pt idx="23">
                  <c:v>41</c:v>
                </c:pt>
              </c:numCache>
            </c:numRef>
          </c:xVal>
          <c:yVal>
            <c:numRef>
              <c:f>'DOT PLOT'!$M$4:$M$27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E-4C87-92A4-6425FA3BB4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32785392"/>
        <c:axId val="1932781552"/>
      </c:scatterChart>
      <c:valAx>
        <c:axId val="193278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81552"/>
        <c:crosses val="autoZero"/>
        <c:crossBetween val="midCat"/>
      </c:valAx>
      <c:valAx>
        <c:axId val="19327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853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 PLOTS</a:t>
            </a:r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16667442927298"/>
          <c:y val="0.16350666116753523"/>
          <c:w val="0.82169591042505263"/>
          <c:h val="0.67782902415880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'DOT PLOT'!$X$3</c:f>
              <c:strCache>
                <c:ptCount val="1"/>
                <c:pt idx="0">
                  <c:v>Counts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'DOT PLOT'!$W$4:$W$26</c:f>
              <c:numCache>
                <c:formatCode>General</c:formatCode>
                <c:ptCount val="23"/>
                <c:pt idx="0">
                  <c:v>49</c:v>
                </c:pt>
                <c:pt idx="1">
                  <c:v>13</c:v>
                </c:pt>
                <c:pt idx="2">
                  <c:v>52</c:v>
                </c:pt>
                <c:pt idx="3">
                  <c:v>69</c:v>
                </c:pt>
                <c:pt idx="4">
                  <c:v>69</c:v>
                </c:pt>
                <c:pt idx="5">
                  <c:v>55</c:v>
                </c:pt>
                <c:pt idx="6">
                  <c:v>14</c:v>
                </c:pt>
                <c:pt idx="7">
                  <c:v>57</c:v>
                </c:pt>
                <c:pt idx="8">
                  <c:v>8</c:v>
                </c:pt>
                <c:pt idx="9">
                  <c:v>54</c:v>
                </c:pt>
                <c:pt idx="10">
                  <c:v>33</c:v>
                </c:pt>
                <c:pt idx="11">
                  <c:v>42</c:v>
                </c:pt>
                <c:pt idx="12">
                  <c:v>69</c:v>
                </c:pt>
                <c:pt idx="13">
                  <c:v>13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18</c:v>
                </c:pt>
                <c:pt idx="18">
                  <c:v>7</c:v>
                </c:pt>
                <c:pt idx="19">
                  <c:v>29</c:v>
                </c:pt>
                <c:pt idx="20">
                  <c:v>52</c:v>
                </c:pt>
                <c:pt idx="21">
                  <c:v>13</c:v>
                </c:pt>
                <c:pt idx="22">
                  <c:v>54</c:v>
                </c:pt>
              </c:numCache>
            </c:numRef>
          </c:xVal>
          <c:yVal>
            <c:numRef>
              <c:f>'DOT PLOT'!$X$4:$X$26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A-4C29-B1EA-960900F2B4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7480624"/>
        <c:axId val="337476304"/>
      </c:scatterChart>
      <c:valAx>
        <c:axId val="3374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students </a:t>
                </a:r>
              </a:p>
            </c:rich>
          </c:tx>
          <c:layout>
            <c:manualLayout>
              <c:xMode val="edge"/>
              <c:yMode val="edge"/>
              <c:x val="0.46673012461123664"/>
              <c:y val="0.91775655613123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76304"/>
        <c:crosses val="autoZero"/>
        <c:crossBetween val="midCat"/>
      </c:valAx>
      <c:valAx>
        <c:axId val="3374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layout>
            <c:manualLayout>
              <c:xMode val="edge"/>
              <c:yMode val="edge"/>
              <c:x val="2.8124667032040848E-2"/>
              <c:y val="0.44274138230607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806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 PLOTS </a:t>
            </a:r>
          </a:p>
        </c:rich>
      </c:tx>
      <c:overlay val="0"/>
      <c:spPr>
        <a:solidFill>
          <a:schemeClr val="accent3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72379527840192"/>
          <c:y val="0.15778916784159155"/>
          <c:w val="0.84671971571961113"/>
          <c:h val="0.72890180696485563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'DOT PLOT'!$AH$4:$AH$26</c:f>
              <c:numCache>
                <c:formatCode>General</c:formatCode>
                <c:ptCount val="23"/>
                <c:pt idx="0">
                  <c:v>29</c:v>
                </c:pt>
                <c:pt idx="1">
                  <c:v>47</c:v>
                </c:pt>
                <c:pt idx="2">
                  <c:v>20</c:v>
                </c:pt>
                <c:pt idx="3">
                  <c:v>60</c:v>
                </c:pt>
                <c:pt idx="4">
                  <c:v>30</c:v>
                </c:pt>
                <c:pt idx="5">
                  <c:v>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41</c:v>
                </c:pt>
                <c:pt idx="11">
                  <c:v>69</c:v>
                </c:pt>
                <c:pt idx="12">
                  <c:v>59</c:v>
                </c:pt>
                <c:pt idx="13">
                  <c:v>47</c:v>
                </c:pt>
                <c:pt idx="14">
                  <c:v>52</c:v>
                </c:pt>
                <c:pt idx="15">
                  <c:v>60</c:v>
                </c:pt>
                <c:pt idx="16">
                  <c:v>61</c:v>
                </c:pt>
                <c:pt idx="17">
                  <c:v>61</c:v>
                </c:pt>
                <c:pt idx="18">
                  <c:v>20</c:v>
                </c:pt>
                <c:pt idx="19">
                  <c:v>58</c:v>
                </c:pt>
                <c:pt idx="20">
                  <c:v>60</c:v>
                </c:pt>
                <c:pt idx="21">
                  <c:v>88</c:v>
                </c:pt>
                <c:pt idx="22">
                  <c:v>65</c:v>
                </c:pt>
              </c:numCache>
            </c:numRef>
          </c:xVal>
          <c:yVal>
            <c:numRef>
              <c:f>'DOT PLOT'!$AI$4:$AI$26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4-4517-BB21-4C41EF9502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32816592"/>
        <c:axId val="1932817552"/>
      </c:scatterChart>
      <c:valAx>
        <c:axId val="193281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17552"/>
        <c:crosses val="autoZero"/>
        <c:crossBetween val="midCat"/>
      </c:valAx>
      <c:valAx>
        <c:axId val="193281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layout>
            <c:manualLayout>
              <c:xMode val="edge"/>
              <c:yMode val="edge"/>
              <c:x val="0"/>
              <c:y val="0.435970901046420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16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</a:t>
            </a:r>
            <a:r>
              <a:rPr lang="en-US" baseline="0"/>
              <a:t> plots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'DOT PLOT'!$B$3</c:f>
              <c:strCache>
                <c:ptCount val="1"/>
                <c:pt idx="0">
                  <c:v>Counts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'DOT PLOT'!$A$4:$A$27</c:f>
              <c:numCache>
                <c:formatCode>General</c:formatCode>
                <c:ptCount val="24"/>
                <c:pt idx="0">
                  <c:v>17</c:v>
                </c:pt>
                <c:pt idx="1">
                  <c:v>35</c:v>
                </c:pt>
                <c:pt idx="2">
                  <c:v>20</c:v>
                </c:pt>
                <c:pt idx="3">
                  <c:v>60</c:v>
                </c:pt>
                <c:pt idx="4">
                  <c:v>66</c:v>
                </c:pt>
                <c:pt idx="5">
                  <c:v>9</c:v>
                </c:pt>
                <c:pt idx="6">
                  <c:v>65</c:v>
                </c:pt>
                <c:pt idx="7">
                  <c:v>8</c:v>
                </c:pt>
                <c:pt idx="8">
                  <c:v>44</c:v>
                </c:pt>
                <c:pt idx="9">
                  <c:v>57</c:v>
                </c:pt>
                <c:pt idx="10">
                  <c:v>50</c:v>
                </c:pt>
                <c:pt idx="11">
                  <c:v>68</c:v>
                </c:pt>
                <c:pt idx="12">
                  <c:v>21</c:v>
                </c:pt>
                <c:pt idx="13">
                  <c:v>32</c:v>
                </c:pt>
                <c:pt idx="14">
                  <c:v>15</c:v>
                </c:pt>
                <c:pt idx="15">
                  <c:v>56</c:v>
                </c:pt>
                <c:pt idx="16">
                  <c:v>61</c:v>
                </c:pt>
                <c:pt idx="17">
                  <c:v>61</c:v>
                </c:pt>
                <c:pt idx="18">
                  <c:v>43</c:v>
                </c:pt>
                <c:pt idx="19">
                  <c:v>60</c:v>
                </c:pt>
                <c:pt idx="20">
                  <c:v>52</c:v>
                </c:pt>
                <c:pt idx="21">
                  <c:v>53</c:v>
                </c:pt>
                <c:pt idx="22">
                  <c:v>69</c:v>
                </c:pt>
                <c:pt idx="23">
                  <c:v>51</c:v>
                </c:pt>
              </c:numCache>
            </c:numRef>
          </c:xVal>
          <c:yVal>
            <c:numRef>
              <c:f>'DOT PLOT'!$B$4:$B$27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2-4C40-8590-F088F796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990096"/>
        <c:axId val="1842978096"/>
      </c:scatterChart>
      <c:valAx>
        <c:axId val="18429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78096"/>
        <c:crosses val="autoZero"/>
        <c:crossBetween val="midCat"/>
      </c:valAx>
      <c:valAx>
        <c:axId val="18429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9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Box and  Whisker Plot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rPr>
            <a:t>Box and  Whisker Plot</a:t>
          </a:r>
        </a:p>
      </cx:txPr>
    </cx:title>
    <cx:plotArea>
      <cx:plotAreaRegion>
        <cx:plotSurface>
          <cx:spPr>
            <a:noFill/>
          </cx:spPr>
        </cx:plotSurface>
        <cx:series layoutId="boxWhisker" uniqueId="{74CB5174-D919-4147-AC70-99CE36E1EF9C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x:txPr>
      </cx:axis>
      <cx:axis id="1">
        <cx:valScaling/>
        <cx:title>
          <cx:tx>
            <cx:txData>
              <cx:v>iMEASUREMENT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iMEASUREMENT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Box and Whisker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and Whisker Plot</a:t>
          </a:r>
        </a:p>
      </cx:txPr>
    </cx:title>
    <cx:plotArea>
      <cx:plotAreaRegion>
        <cx:series layoutId="boxWhisker" uniqueId="{75618F56-3A91-4C0A-B018-D5DC0634CED9}"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txData>
              <cx:v>EMPLOYEES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EMPLOYEES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Box  and Whisker Plot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 and Whisker Plot </a:t>
          </a:r>
        </a:p>
      </cx:txPr>
    </cx:title>
    <cx:plotArea>
      <cx:plotAreaRegion>
        <cx:series layoutId="boxWhisker" uniqueId="{A0D1137E-802C-46C9-B37A-CAC8E4854E62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txData>
              <cx:v>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SCORE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txData>
          <cx:v>Box and Whiskers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and Whiskers Plot</a:t>
          </a:r>
        </a:p>
      </cx:txPr>
    </cx:title>
    <cx:plotArea>
      <cx:plotAreaRegion>
        <cx:series layoutId="boxWhisker" uniqueId="{66B589DA-2DF5-44BA-A737-A2EB150C9801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txData>
              <cx:v>NUMBERS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NUMBERS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</cx:chartData>
  <cx:chart>
    <cx:title pos="t" align="ctr" overlay="0">
      <cx:tx>
        <cx:txData>
          <cx:v>BOX PLOT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</a:t>
          </a:r>
        </a:p>
      </cx:txPr>
    </cx:title>
    <cx:plotArea>
      <cx:plotAreaRegion>
        <cx:series layoutId="boxWhisker" uniqueId="{B825ACDA-53E2-4B2C-8CE1-FB189DB2493C}">
          <cx:tx>
            <cx:txData>
              <cx:f>_xlchart.v1.10</cx:f>
              <cx:v>SECTION 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F92FCB7-B2B7-48C3-B497-5270F79E31E9}">
          <cx:tx>
            <cx:txData>
              <cx:f>_xlchart.v1.12</cx:f>
              <cx:v>SECTION B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txData>
              <cx:v>SCORES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SCORES 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  <cx:data id="2">
      <cx:numDim type="val">
        <cx:f>_xlchart.v1.19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86D7362C-A3EC-44DB-B033-1635AC91493F}">
          <cx:tx>
            <cx:txData>
              <cx:f>_xlchart.v1.14</cx:f>
              <cx:v>BRAND 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50AAC60-8905-40EC-83CE-CC4408A0E776}">
          <cx:tx>
            <cx:txData>
              <cx:f>_xlchart.v1.16</cx:f>
              <cx:v>BRAND B 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ED0B3C2-65EB-4F1B-891E-D86B6ACB4F42}">
          <cx:tx>
            <cx:txData>
              <cx:f>_xlchart.v1.18</cx:f>
              <cx:v>BRAND C</cx:v>
            </cx:txData>
          </cx:tx>
          <cx:dataLabels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txData>
              <cx:v>BRANDS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BRANDS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_xlchart.v1.26</cx:f>
      </cx:numDim>
    </cx:data>
    <cx:data id="2">
      <cx:numDim type="val">
        <cx:f>_xlchart.v1.28</cx:f>
      </cx:numDim>
    </cx:data>
  </cx:chartData>
  <cx:chart>
    <cx:title pos="t" align="ctr" overlay="0">
      <cx:tx>
        <cx:txData>
          <cx:v>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 BOX PLOT</a:t>
          </a:r>
        </a:p>
      </cx:txPr>
    </cx:title>
    <cx:plotArea>
      <cx:plotAreaRegion>
        <cx:series layoutId="boxWhisker" uniqueId="{E7D81A02-958F-4347-9EE8-3879D29FBE36}">
          <cx:tx>
            <cx:txData>
              <cx:f>_xlchart.v1.23</cx:f>
              <cx:v>COMPANY    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F9D3CBC-D270-4311-91E8-0C3BAE1C32AC}">
          <cx:tx>
            <cx:txData>
              <cx:f>_xlchart.v1.25</cx:f>
              <cx:v>COMPANY    B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9D17C56-EA1A-4DD6-832F-F7A976CE1252}">
          <cx:tx>
            <cx:txData>
              <cx:f>_xlchart.v1.27</cx:f>
              <cx:v>COMPANY   C</cx:v>
            </cx:txData>
          </cx:tx>
          <cx:dataLabels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 </a:t>
              </a:r>
            </a:p>
          </cx:txPr>
        </cx:title>
        <cx:tickLabels/>
      </cx:axis>
      <cx:axis id="1">
        <cx:valScaling/>
        <cx:title>
          <cx:tx>
            <cx:txData>
              <cx:v>COMPANY  EARNING IN LAKHS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COMPANY  EARNING IN LAKHS 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BOX PLOT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</a:t>
          </a:r>
        </a:p>
      </cx:txPr>
    </cx:title>
    <cx:plotArea>
      <cx:plotAreaRegion>
        <cx:series layoutId="boxWhisker" uniqueId="{DCF61490-F671-420A-8705-523628D7E2D3}">
          <cx:tx>
            <cx:txData>
              <cx:f>_xlchart.v1.6</cx:f>
              <cx:v>TEA    A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63EF104-2D0C-408B-AFD0-4DF0D69D4C54}">
          <cx:tx>
            <cx:txData>
              <cx:f>_xlchart.v1.8</cx:f>
              <cx:v>TEA     B 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txData>
              <cx:v>PRICE OF TEA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PRICE OF TEA 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583079</xdr:colOff>
      <xdr:row>3</xdr:row>
      <xdr:rowOff>147948</xdr:rowOff>
    </xdr:from>
    <xdr:to>
      <xdr:col>10</xdr:col>
      <xdr:colOff>286300</xdr:colOff>
      <xdr:row>18</xdr:row>
      <xdr:rowOff>40332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B16CCA-8F3D-4AB6-848C-D61A374CE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73268</xdr:colOff>
      <xdr:row>3</xdr:row>
      <xdr:rowOff>135861</xdr:rowOff>
    </xdr:from>
    <xdr:to>
      <xdr:col>21</xdr:col>
      <xdr:colOff>73268</xdr:colOff>
      <xdr:row>18</xdr:row>
      <xdr:rowOff>11913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1733A7-76F0-44D6-829D-7BE38F69C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559075</xdr:colOff>
      <xdr:row>3</xdr:row>
      <xdr:rowOff>165064</xdr:rowOff>
    </xdr:from>
    <xdr:to>
      <xdr:col>32</xdr:col>
      <xdr:colOff>359955</xdr:colOff>
      <xdr:row>19</xdr:row>
      <xdr:rowOff>41413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BA0834-CF5B-4E36-89E9-8CF29C879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248788</xdr:colOff>
      <xdr:row>3</xdr:row>
      <xdr:rowOff>69273</xdr:rowOff>
    </xdr:from>
    <xdr:to>
      <xdr:col>44</xdr:col>
      <xdr:colOff>96538</xdr:colOff>
      <xdr:row>18</xdr:row>
      <xdr:rowOff>181841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D8A006-2E68-48DE-812F-B0D186C8A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412750</xdr:colOff>
      <xdr:row>18</xdr:row>
      <xdr:rowOff>88900</xdr:rowOff>
    </xdr:from>
    <xdr:to>
      <xdr:col>11</xdr:col>
      <xdr:colOff>122464</xdr:colOff>
      <xdr:row>33</xdr:row>
      <xdr:rowOff>110671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CF7B3D-9AB4-EB2D-96E9-45BB12DE1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434758</xdr:colOff>
      <xdr:row>2</xdr:row>
      <xdr:rowOff>12909</xdr:rowOff>
    </xdr:from>
    <xdr:to>
      <xdr:col>27</xdr:col>
      <xdr:colOff>156017</xdr:colOff>
      <xdr:row>16</xdr:row>
      <xdr:rowOff>89109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3873370-49F0-44FB-9700-DCA7F14F68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42558" y="781259"/>
              <a:ext cx="6071259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322216</xdr:colOff>
      <xdr:row>1</xdr:row>
      <xdr:rowOff>123479</xdr:rowOff>
    </xdr:from>
    <xdr:to>
      <xdr:col>42</xdr:col>
      <xdr:colOff>602641</xdr:colOff>
      <xdr:row>16</xdr:row>
      <xdr:rowOff>74867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06D75A-5EF8-4885-863D-2AF5B3C770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77716" y="707679"/>
              <a:ext cx="4769875" cy="2713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47</xdr:col>
      <xdr:colOff>0</xdr:colOff>
      <xdr:row>2</xdr:row>
      <xdr:rowOff>0</xdr:rowOff>
    </xdr:from>
    <xdr:ext cx="304800" cy="304800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DD6D096A-DFC7-499D-8F29-3F867993F1BD}"/>
            </a:ext>
          </a:extLst>
        </xdr:cNvPr>
        <xdr:cNvSpPr>
          <a:spLocks noChangeAspect="1" noChangeArrowheads="1"/>
        </xdr:cNvSpPr>
      </xdr:nvSpPr>
      <xdr:spPr bwMode="auto">
        <a:xfrm>
          <a:off x="304800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6</xdr:col>
      <xdr:colOff>41131</xdr:colOff>
      <xdr:row>5</xdr:row>
      <xdr:rowOff>19740</xdr:rowOff>
    </xdr:from>
    <xdr:to>
      <xdr:col>13</xdr:col>
      <xdr:colOff>370176</xdr:colOff>
      <xdr:row>19</xdr:row>
      <xdr:rowOff>35327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439EA98-423F-4D73-00CF-F49279D5F5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7431" y="1340540"/>
              <a:ext cx="5326495" cy="2593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49</xdr:col>
      <xdr:colOff>95250</xdr:colOff>
      <xdr:row>2</xdr:row>
      <xdr:rowOff>119516</xdr:rowOff>
    </xdr:from>
    <xdr:to>
      <xdr:col>56</xdr:col>
      <xdr:colOff>381000</xdr:colOff>
      <xdr:row>16</xdr:row>
      <xdr:rowOff>163966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B052C4B-4610-0519-BE01-B129726E6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36250" y="887866"/>
              <a:ext cx="4775200" cy="262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771608</xdr:colOff>
      <xdr:row>51</xdr:row>
      <xdr:rowOff>105924</xdr:rowOff>
    </xdr:from>
    <xdr:to>
      <xdr:col>8</xdr:col>
      <xdr:colOff>545389</xdr:colOff>
      <xdr:row>65</xdr:row>
      <xdr:rowOff>175440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6FDA6AB-674E-30E1-EA35-A069FD11AE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8708" y="10494524"/>
              <a:ext cx="4815681" cy="2647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410035</xdr:colOff>
      <xdr:row>51</xdr:row>
      <xdr:rowOff>7958</xdr:rowOff>
    </xdr:from>
    <xdr:to>
      <xdr:col>17</xdr:col>
      <xdr:colOff>636254</xdr:colOff>
      <xdr:row>65</xdr:row>
      <xdr:rowOff>77474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D41FEBD-21A9-2F73-AB6A-7F83747615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2435" y="10396558"/>
              <a:ext cx="11516519" cy="26476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162094</xdr:colOff>
      <xdr:row>50</xdr:row>
      <xdr:rowOff>82216</xdr:rowOff>
    </xdr:from>
    <xdr:to>
      <xdr:col>29</xdr:col>
      <xdr:colOff>422778</xdr:colOff>
      <xdr:row>65</xdr:row>
      <xdr:rowOff>5515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A1D12D4-42FE-F4F9-BA7A-C75279BEF3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13144" y="10286666"/>
              <a:ext cx="4750134" cy="2685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78122</xdr:colOff>
      <xdr:row>50</xdr:row>
      <xdr:rowOff>159502</xdr:rowOff>
    </xdr:from>
    <xdr:to>
      <xdr:col>40</xdr:col>
      <xdr:colOff>175043</xdr:colOff>
      <xdr:row>66</xdr:row>
      <xdr:rowOff>45202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137C6F0-F301-70F2-7754-4EA5F550BB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6922" y="10363952"/>
              <a:ext cx="4840371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6C39-E6F0-4AB1-A498-074DB320DCB3}">
  <dimension ref="A1:BF51"/>
  <sheetViews>
    <sheetView topLeftCell="A27" zoomScale="55" zoomScaleNormal="55" workbookViewId="0">
      <selection activeCell="AG40" sqref="AG40"/>
    </sheetView>
  </sheetViews>
  <sheetFormatPr defaultRowHeight="14.5" x14ac:dyDescent="0.35"/>
  <cols>
    <col min="1" max="1" width="27.26953125" customWidth="1"/>
    <col min="2" max="2" width="27.1796875" customWidth="1"/>
    <col min="4" max="4" width="8" customWidth="1"/>
    <col min="5" max="5" width="9.7265625" customWidth="1"/>
    <col min="6" max="6" width="5.54296875" customWidth="1"/>
    <col min="7" max="7" width="3" customWidth="1"/>
    <col min="8" max="8" width="3.26953125" customWidth="1"/>
    <col min="9" max="9" width="26.54296875" customWidth="1"/>
    <col min="10" max="10" width="4.1796875" customWidth="1"/>
    <col min="11" max="11" width="2.7265625" hidden="1" customWidth="1"/>
    <col min="12" max="12" width="7.81640625" customWidth="1"/>
    <col min="13" max="13" width="5" customWidth="1"/>
    <col min="14" max="14" width="20.81640625" customWidth="1"/>
    <col min="15" max="15" width="3.453125" customWidth="1"/>
    <col min="16" max="16" width="3.26953125" customWidth="1"/>
    <col min="19" max="19" width="10.26953125" customWidth="1"/>
    <col min="22" max="22" width="65.26953125" customWidth="1"/>
    <col min="26" max="26" width="7.26953125" customWidth="1"/>
    <col min="27" max="27" width="5.7265625" customWidth="1"/>
    <col min="28" max="28" width="2.26953125" customWidth="1"/>
    <col min="29" max="29" width="2.7265625" customWidth="1"/>
    <col min="30" max="30" width="3" customWidth="1"/>
    <col min="31" max="31" width="11.26953125" customWidth="1"/>
    <col min="32" max="32" width="15.54296875" customWidth="1"/>
    <col min="34" max="34" width="15.81640625" customWidth="1"/>
    <col min="35" max="35" width="7" customWidth="1"/>
    <col min="36" max="36" width="7.1796875" customWidth="1"/>
    <col min="37" max="38" width="9.26953125" customWidth="1"/>
    <col min="39" max="39" width="7" customWidth="1"/>
    <col min="40" max="40" width="3.54296875" customWidth="1"/>
    <col min="41" max="41" width="2.7265625" customWidth="1"/>
    <col min="42" max="42" width="2.1796875" customWidth="1"/>
    <col min="43" max="43" width="8.7265625" customWidth="1"/>
    <col min="45" max="45" width="8.26953125" customWidth="1"/>
    <col min="46" max="46" width="16.26953125" customWidth="1"/>
    <col min="47" max="47" width="8.453125" customWidth="1"/>
    <col min="48" max="48" width="13.81640625" customWidth="1"/>
    <col min="49" max="49" width="8.7265625" customWidth="1"/>
    <col min="50" max="50" width="9.453125" customWidth="1"/>
    <col min="52" max="53" width="6.1796875" customWidth="1"/>
    <col min="54" max="54" width="4.54296875" customWidth="1"/>
    <col min="55" max="55" width="3" customWidth="1"/>
    <col min="56" max="56" width="2.54296875" customWidth="1"/>
    <col min="57" max="57" width="2.26953125" customWidth="1"/>
    <col min="58" max="58" width="2.453125" customWidth="1"/>
  </cols>
  <sheetData>
    <row r="1" spans="1:58" ht="33.5" x14ac:dyDescent="0.75">
      <c r="V1" s="55" t="s">
        <v>59</v>
      </c>
    </row>
    <row r="4" spans="1:58" x14ac:dyDescent="0.35">
      <c r="G4" s="4"/>
      <c r="J4" s="4"/>
      <c r="L4" s="4"/>
    </row>
    <row r="5" spans="1:58" x14ac:dyDescent="0.35">
      <c r="A5" s="4" t="s">
        <v>24</v>
      </c>
      <c r="G5" s="4"/>
      <c r="J5" s="4"/>
      <c r="K5" s="4"/>
      <c r="L5" s="4"/>
      <c r="S5" s="4" t="s">
        <v>27</v>
      </c>
      <c r="AF5" s="4" t="s">
        <v>31</v>
      </c>
      <c r="AT5" s="4" t="s">
        <v>32</v>
      </c>
    </row>
    <row r="6" spans="1:58" x14ac:dyDescent="0.35">
      <c r="J6" s="4"/>
    </row>
    <row r="7" spans="1:58" x14ac:dyDescent="0.35">
      <c r="I7" s="4"/>
    </row>
    <row r="8" spans="1:58" x14ac:dyDescent="0.35">
      <c r="D8" s="6" t="s">
        <v>2</v>
      </c>
      <c r="E8" s="7" t="s">
        <v>1</v>
      </c>
      <c r="X8" s="9" t="s">
        <v>2</v>
      </c>
      <c r="Y8" s="10" t="s">
        <v>1</v>
      </c>
      <c r="AF8" s="4" t="s">
        <v>35</v>
      </c>
      <c r="AH8" s="33" t="s">
        <v>36</v>
      </c>
      <c r="AJ8" s="13" t="s">
        <v>2</v>
      </c>
      <c r="AK8" s="12" t="s">
        <v>1</v>
      </c>
      <c r="AT8" s="4" t="s">
        <v>35</v>
      </c>
      <c r="AV8" s="33" t="s">
        <v>36</v>
      </c>
      <c r="AX8" s="50" t="s">
        <v>2</v>
      </c>
      <c r="AY8" s="38" t="s">
        <v>1</v>
      </c>
    </row>
    <row r="9" spans="1:58" x14ac:dyDescent="0.35">
      <c r="A9" s="4" t="s">
        <v>25</v>
      </c>
      <c r="D9" s="1">
        <v>1</v>
      </c>
      <c r="E9" s="1">
        <v>2</v>
      </c>
      <c r="X9" s="1">
        <v>1</v>
      </c>
      <c r="Y9" s="1">
        <v>7</v>
      </c>
      <c r="AF9" s="48" t="s">
        <v>3</v>
      </c>
      <c r="AH9" s="34" t="s">
        <v>3</v>
      </c>
      <c r="AJ9" s="1">
        <v>1</v>
      </c>
      <c r="AK9" s="1">
        <v>2</v>
      </c>
      <c r="AT9" s="49" t="s">
        <v>37</v>
      </c>
      <c r="AV9" s="35" t="s">
        <v>37</v>
      </c>
      <c r="AX9" s="1">
        <v>0</v>
      </c>
      <c r="AY9" s="1">
        <v>3</v>
      </c>
    </row>
    <row r="10" spans="1:58" x14ac:dyDescent="0.35">
      <c r="D10" s="1">
        <v>1</v>
      </c>
      <c r="E10" s="1">
        <v>2</v>
      </c>
      <c r="S10" s="4" t="s">
        <v>34</v>
      </c>
      <c r="X10" s="1">
        <v>1</v>
      </c>
      <c r="Y10" s="1">
        <v>8</v>
      </c>
      <c r="AF10">
        <v>94</v>
      </c>
      <c r="AH10" s="33">
        <v>12</v>
      </c>
      <c r="AJ10" s="1">
        <v>1</v>
      </c>
      <c r="AK10" s="1">
        <v>2</v>
      </c>
      <c r="AT10">
        <v>59</v>
      </c>
      <c r="AV10" s="33">
        <v>3</v>
      </c>
      <c r="AX10" s="1">
        <v>0</v>
      </c>
      <c r="AY10" s="1">
        <v>4</v>
      </c>
    </row>
    <row r="11" spans="1:58" x14ac:dyDescent="0.35">
      <c r="A11" s="4" t="s">
        <v>34</v>
      </c>
      <c r="D11" s="1">
        <v>1</v>
      </c>
      <c r="E11" s="1">
        <v>3</v>
      </c>
      <c r="S11" s="4"/>
      <c r="X11" s="1">
        <v>2</v>
      </c>
      <c r="Y11" s="1">
        <v>2</v>
      </c>
      <c r="AF11">
        <v>92</v>
      </c>
      <c r="AH11" s="33">
        <v>12</v>
      </c>
      <c r="AJ11" s="1">
        <v>2</v>
      </c>
      <c r="AK11" s="1">
        <v>5</v>
      </c>
      <c r="AT11">
        <v>58</v>
      </c>
      <c r="AV11" s="33">
        <v>4</v>
      </c>
      <c r="AX11" s="1">
        <v>0</v>
      </c>
      <c r="AY11" s="1">
        <v>7</v>
      </c>
    </row>
    <row r="12" spans="1:58" x14ac:dyDescent="0.35">
      <c r="D12" s="1">
        <v>1</v>
      </c>
      <c r="E12" s="1">
        <v>4</v>
      </c>
      <c r="S12" s="45" t="s">
        <v>29</v>
      </c>
      <c r="T12" s="46"/>
      <c r="U12" s="46"/>
      <c r="V12" s="47"/>
      <c r="X12" s="1">
        <v>2</v>
      </c>
      <c r="Y12" s="1">
        <v>3</v>
      </c>
      <c r="AF12">
        <v>92</v>
      </c>
      <c r="AH12" s="33">
        <v>25</v>
      </c>
      <c r="AJ12" s="1">
        <v>2</v>
      </c>
      <c r="AK12" s="1">
        <v>5</v>
      </c>
      <c r="AT12">
        <v>56</v>
      </c>
      <c r="AV12" s="33">
        <v>7</v>
      </c>
      <c r="AX12" s="1">
        <v>1</v>
      </c>
      <c r="AY12" s="1">
        <v>5</v>
      </c>
    </row>
    <row r="13" spans="1:58" x14ac:dyDescent="0.35">
      <c r="A13" s="43" t="s">
        <v>28</v>
      </c>
      <c r="B13" s="44" t="s">
        <v>26</v>
      </c>
      <c r="D13" s="1">
        <v>1</v>
      </c>
      <c r="E13" s="1">
        <v>5</v>
      </c>
      <c r="I13" s="42" t="s">
        <v>28</v>
      </c>
      <c r="J13" s="39"/>
      <c r="L13" s="39"/>
      <c r="N13" s="42" t="s">
        <v>26</v>
      </c>
      <c r="S13">
        <v>6.2</v>
      </c>
      <c r="T13">
        <v>1.8</v>
      </c>
      <c r="U13">
        <v>9.6999999999999993</v>
      </c>
      <c r="V13">
        <v>1.7</v>
      </c>
      <c r="X13" s="1">
        <v>2</v>
      </c>
      <c r="Y13" s="1">
        <v>8</v>
      </c>
      <c r="AA13" s="11" t="s">
        <v>2</v>
      </c>
      <c r="AB13" s="21" t="s">
        <v>1</v>
      </c>
      <c r="AC13" s="22"/>
      <c r="AD13" s="22"/>
      <c r="AF13">
        <v>82</v>
      </c>
      <c r="AH13" s="33">
        <v>25</v>
      </c>
      <c r="AJ13" s="1">
        <v>2</v>
      </c>
      <c r="AK13" s="1">
        <v>6</v>
      </c>
      <c r="AM13" s="24" t="s">
        <v>2</v>
      </c>
      <c r="AN13" s="25" t="s">
        <v>1</v>
      </c>
      <c r="AO13" s="26"/>
      <c r="AP13" s="27"/>
      <c r="AT13">
        <v>49</v>
      </c>
      <c r="AV13" s="33">
        <v>15</v>
      </c>
      <c r="AX13" s="1">
        <v>1</v>
      </c>
      <c r="AY13" s="1">
        <v>6</v>
      </c>
      <c r="BA13" s="29" t="s">
        <v>2</v>
      </c>
      <c r="BB13" s="30" t="s">
        <v>1</v>
      </c>
      <c r="BC13" s="16"/>
      <c r="BD13" s="16"/>
      <c r="BE13" s="16"/>
      <c r="BF13" s="31"/>
    </row>
    <row r="14" spans="1:58" x14ac:dyDescent="0.35">
      <c r="A14">
        <v>70</v>
      </c>
      <c r="B14">
        <v>77</v>
      </c>
      <c r="D14" s="1">
        <v>2</v>
      </c>
      <c r="E14" s="1">
        <v>2</v>
      </c>
      <c r="I14" s="8" t="s">
        <v>1</v>
      </c>
      <c r="J14" s="39"/>
      <c r="L14" s="40" t="s">
        <v>2</v>
      </c>
      <c r="N14" s="41" t="s">
        <v>1</v>
      </c>
      <c r="S14">
        <v>5.4</v>
      </c>
      <c r="T14">
        <v>2.2999999999999998</v>
      </c>
      <c r="U14">
        <v>4.5</v>
      </c>
      <c r="V14">
        <v>2.8</v>
      </c>
      <c r="X14" s="1">
        <v>3</v>
      </c>
      <c r="Y14" s="1">
        <v>2</v>
      </c>
      <c r="AA14" s="11">
        <v>1</v>
      </c>
      <c r="AB14" s="23">
        <v>7</v>
      </c>
      <c r="AC14" s="22">
        <v>8</v>
      </c>
      <c r="AD14" s="22"/>
      <c r="AF14">
        <v>78</v>
      </c>
      <c r="AH14" s="33">
        <v>26</v>
      </c>
      <c r="AJ14" s="1">
        <v>3</v>
      </c>
      <c r="AK14" s="1">
        <v>2</v>
      </c>
      <c r="AM14" s="24">
        <v>1</v>
      </c>
      <c r="AN14" s="28">
        <v>2</v>
      </c>
      <c r="AO14" s="26">
        <v>2</v>
      </c>
      <c r="AP14" s="27"/>
      <c r="AT14">
        <v>49</v>
      </c>
      <c r="AV14" s="33">
        <v>16</v>
      </c>
      <c r="AX14" s="1">
        <v>2</v>
      </c>
      <c r="AY14" s="1">
        <v>2</v>
      </c>
      <c r="BA14" s="29">
        <v>0</v>
      </c>
      <c r="BB14" s="32">
        <v>3</v>
      </c>
      <c r="BC14" s="16">
        <v>4</v>
      </c>
      <c r="BD14" s="16">
        <v>7</v>
      </c>
      <c r="BE14" s="16"/>
      <c r="BF14" s="31"/>
    </row>
    <row r="15" spans="1:58" x14ac:dyDescent="0.35">
      <c r="A15">
        <v>69</v>
      </c>
      <c r="B15">
        <v>71</v>
      </c>
      <c r="D15" s="1">
        <v>2</v>
      </c>
      <c r="E15" s="1">
        <v>5</v>
      </c>
      <c r="G15" s="14"/>
      <c r="H15" s="14"/>
      <c r="I15" s="14"/>
      <c r="J15" s="15"/>
      <c r="K15" s="15">
        <v>2</v>
      </c>
      <c r="L15" s="20">
        <v>1</v>
      </c>
      <c r="M15" s="18">
        <v>2</v>
      </c>
      <c r="N15" s="18">
        <v>3</v>
      </c>
      <c r="O15" s="18">
        <v>4</v>
      </c>
      <c r="P15" s="19">
        <v>5</v>
      </c>
      <c r="S15">
        <v>3.2</v>
      </c>
      <c r="T15">
        <v>7.6</v>
      </c>
      <c r="U15">
        <v>8.1999999999999993</v>
      </c>
      <c r="V15">
        <v>3.6</v>
      </c>
      <c r="X15" s="1">
        <v>3</v>
      </c>
      <c r="Y15" s="1">
        <v>6</v>
      </c>
      <c r="AA15" s="11">
        <v>2</v>
      </c>
      <c r="AB15" s="23">
        <v>2</v>
      </c>
      <c r="AC15" s="22">
        <v>3</v>
      </c>
      <c r="AD15" s="22">
        <v>8</v>
      </c>
      <c r="AF15">
        <v>75</v>
      </c>
      <c r="AH15" s="33">
        <v>32</v>
      </c>
      <c r="AJ15" s="1">
        <v>3</v>
      </c>
      <c r="AK15" s="1">
        <v>2</v>
      </c>
      <c r="AM15" s="24">
        <v>2</v>
      </c>
      <c r="AN15" s="28">
        <v>5</v>
      </c>
      <c r="AO15" s="26">
        <v>5</v>
      </c>
      <c r="AP15" s="27">
        <v>6</v>
      </c>
      <c r="AT15">
        <v>48</v>
      </c>
      <c r="AV15" s="33">
        <v>22</v>
      </c>
      <c r="AX15" s="1">
        <v>2</v>
      </c>
      <c r="AY15" s="1">
        <v>5</v>
      </c>
      <c r="BA15" s="29">
        <v>1</v>
      </c>
      <c r="BB15" s="32">
        <v>5</v>
      </c>
      <c r="BC15" s="16">
        <v>6</v>
      </c>
      <c r="BD15" s="16"/>
      <c r="BE15" s="16"/>
      <c r="BF15" s="31"/>
    </row>
    <row r="16" spans="1:58" x14ac:dyDescent="0.35">
      <c r="A16">
        <v>61</v>
      </c>
      <c r="B16">
        <v>65</v>
      </c>
      <c r="D16" s="1">
        <v>2</v>
      </c>
      <c r="E16" s="1">
        <v>7</v>
      </c>
      <c r="G16" s="14"/>
      <c r="H16" s="14"/>
      <c r="I16" s="14"/>
      <c r="J16" s="15">
        <v>7</v>
      </c>
      <c r="K16" s="15">
        <v>2</v>
      </c>
      <c r="L16" s="20">
        <v>2</v>
      </c>
      <c r="M16" s="18">
        <v>5</v>
      </c>
      <c r="N16" s="18">
        <v>7</v>
      </c>
      <c r="O16" s="18"/>
      <c r="P16" s="19"/>
      <c r="S16">
        <v>4.7</v>
      </c>
      <c r="T16">
        <v>6.2</v>
      </c>
      <c r="U16">
        <v>5.9</v>
      </c>
      <c r="V16">
        <v>6.6</v>
      </c>
      <c r="X16" s="1">
        <v>4</v>
      </c>
      <c r="Y16" s="1">
        <v>5</v>
      </c>
      <c r="AA16" s="11">
        <v>3</v>
      </c>
      <c r="AB16" s="23">
        <v>2</v>
      </c>
      <c r="AC16" s="22">
        <v>6</v>
      </c>
      <c r="AD16" s="22"/>
      <c r="AF16">
        <v>72</v>
      </c>
      <c r="AH16" s="33">
        <v>32</v>
      </c>
      <c r="AJ16" s="1">
        <v>3</v>
      </c>
      <c r="AK16" s="1">
        <v>4</v>
      </c>
      <c r="AM16" s="24">
        <v>3</v>
      </c>
      <c r="AN16" s="28">
        <v>2</v>
      </c>
      <c r="AO16" s="26">
        <v>2</v>
      </c>
      <c r="AP16" s="27">
        <v>4</v>
      </c>
      <c r="AT16">
        <v>40</v>
      </c>
      <c r="AV16" s="33">
        <v>25</v>
      </c>
      <c r="AX16" s="1">
        <v>2</v>
      </c>
      <c r="AY16" s="1">
        <v>5</v>
      </c>
      <c r="BA16" s="29">
        <v>2</v>
      </c>
      <c r="BB16" s="32">
        <v>2</v>
      </c>
      <c r="BC16" s="16">
        <v>5</v>
      </c>
      <c r="BD16" s="16">
        <v>5</v>
      </c>
      <c r="BE16" s="16">
        <v>7</v>
      </c>
      <c r="BF16" s="31">
        <v>8</v>
      </c>
    </row>
    <row r="17" spans="1:58" x14ac:dyDescent="0.35">
      <c r="A17">
        <v>57</v>
      </c>
      <c r="B17">
        <v>62</v>
      </c>
      <c r="D17" s="1">
        <v>2</v>
      </c>
      <c r="E17" s="1">
        <v>7</v>
      </c>
      <c r="G17" s="14"/>
      <c r="H17" s="14"/>
      <c r="I17" s="14"/>
      <c r="J17" s="15"/>
      <c r="K17" s="15">
        <v>0</v>
      </c>
      <c r="L17" s="20">
        <v>3</v>
      </c>
      <c r="M17" s="18">
        <v>8</v>
      </c>
      <c r="N17" s="18"/>
      <c r="O17" s="18"/>
      <c r="P17" s="19"/>
      <c r="S17">
        <v>7.2</v>
      </c>
      <c r="T17">
        <v>8.4</v>
      </c>
      <c r="U17">
        <v>9.1</v>
      </c>
      <c r="V17">
        <v>2.2000000000000002</v>
      </c>
      <c r="X17" s="1">
        <v>4</v>
      </c>
      <c r="Y17" s="1">
        <v>7</v>
      </c>
      <c r="AA17" s="11">
        <v>4</v>
      </c>
      <c r="AB17" s="23">
        <v>5</v>
      </c>
      <c r="AC17" s="22">
        <v>7</v>
      </c>
      <c r="AD17" s="22"/>
      <c r="AF17">
        <v>69</v>
      </c>
      <c r="AH17" s="33">
        <v>34</v>
      </c>
      <c r="AJ17" s="1">
        <v>4</v>
      </c>
      <c r="AK17" s="1">
        <v>2</v>
      </c>
      <c r="AM17" s="24">
        <v>4</v>
      </c>
      <c r="AN17" s="28">
        <v>2</v>
      </c>
      <c r="AO17" s="26">
        <v>2</v>
      </c>
      <c r="AP17" s="27">
        <v>6</v>
      </c>
      <c r="AT17">
        <v>39</v>
      </c>
      <c r="AV17" s="33">
        <v>25</v>
      </c>
      <c r="AX17" s="1">
        <v>3</v>
      </c>
      <c r="AY17" s="1">
        <v>0</v>
      </c>
      <c r="BA17" s="29">
        <v>3</v>
      </c>
      <c r="BB17" s="32">
        <v>0</v>
      </c>
      <c r="BC17" s="16">
        <v>9</v>
      </c>
      <c r="BD17" s="16"/>
      <c r="BE17" s="16"/>
      <c r="BF17" s="31"/>
    </row>
    <row r="18" spans="1:58" x14ac:dyDescent="0.35">
      <c r="A18">
        <v>54</v>
      </c>
      <c r="B18">
        <v>57</v>
      </c>
      <c r="D18" s="1">
        <v>3</v>
      </c>
      <c r="E18" s="1">
        <v>0</v>
      </c>
      <c r="G18" s="14">
        <v>6</v>
      </c>
      <c r="H18" s="14">
        <v>3</v>
      </c>
      <c r="I18" s="14">
        <v>3</v>
      </c>
      <c r="J18" s="15">
        <v>2</v>
      </c>
      <c r="K18" s="15">
        <v>2</v>
      </c>
      <c r="L18" s="20">
        <v>4</v>
      </c>
      <c r="M18" s="18">
        <v>3</v>
      </c>
      <c r="N18" s="18">
        <v>7</v>
      </c>
      <c r="O18" s="18"/>
      <c r="P18" s="19"/>
      <c r="X18" s="1">
        <v>5</v>
      </c>
      <c r="Y18" s="1">
        <v>4</v>
      </c>
      <c r="AA18" s="11">
        <v>5</v>
      </c>
      <c r="AB18" s="23">
        <v>4</v>
      </c>
      <c r="AC18" s="22">
        <v>9</v>
      </c>
      <c r="AD18" s="22"/>
      <c r="AF18">
        <v>69</v>
      </c>
      <c r="AH18" s="33">
        <v>42</v>
      </c>
      <c r="AJ18" s="1">
        <v>4</v>
      </c>
      <c r="AK18" s="1">
        <v>2</v>
      </c>
      <c r="AM18" s="24">
        <v>5</v>
      </c>
      <c r="AN18" s="28">
        <v>2</v>
      </c>
      <c r="AO18" s="26">
        <v>6</v>
      </c>
      <c r="AP18" s="27">
        <v>6</v>
      </c>
      <c r="AT18">
        <v>30</v>
      </c>
      <c r="AV18" s="33">
        <v>27</v>
      </c>
      <c r="AX18" s="1">
        <v>3</v>
      </c>
      <c r="AY18" s="1">
        <v>9</v>
      </c>
      <c r="BA18" s="29">
        <v>4</v>
      </c>
      <c r="BB18" s="32">
        <v>0</v>
      </c>
      <c r="BC18" s="16">
        <v>8</v>
      </c>
      <c r="BD18" s="16">
        <v>9</v>
      </c>
      <c r="BE18" s="16">
        <v>9</v>
      </c>
      <c r="BF18" s="31"/>
    </row>
    <row r="19" spans="1:58" x14ac:dyDescent="0.35">
      <c r="A19">
        <v>52</v>
      </c>
      <c r="B19">
        <v>52</v>
      </c>
      <c r="D19" s="1">
        <v>3</v>
      </c>
      <c r="E19" s="1">
        <v>8</v>
      </c>
      <c r="G19" s="14"/>
      <c r="H19" s="14"/>
      <c r="I19" s="14">
        <v>7</v>
      </c>
      <c r="J19" s="15">
        <v>4</v>
      </c>
      <c r="K19" s="15">
        <v>2</v>
      </c>
      <c r="L19" s="20">
        <v>5</v>
      </c>
      <c r="M19" s="18">
        <v>2</v>
      </c>
      <c r="N19" s="18">
        <v>7</v>
      </c>
      <c r="O19" s="18"/>
      <c r="P19" s="19"/>
      <c r="S19" s="4" t="s">
        <v>30</v>
      </c>
      <c r="X19" s="1">
        <v>5</v>
      </c>
      <c r="Y19" s="1">
        <v>9</v>
      </c>
      <c r="AA19" s="11">
        <v>6</v>
      </c>
      <c r="AB19" s="23">
        <v>2</v>
      </c>
      <c r="AC19" s="22">
        <v>2</v>
      </c>
      <c r="AD19" s="22">
        <v>6</v>
      </c>
      <c r="AF19">
        <v>68</v>
      </c>
      <c r="AH19" s="33">
        <v>42</v>
      </c>
      <c r="AJ19" s="1">
        <v>4</v>
      </c>
      <c r="AK19" s="1">
        <v>6</v>
      </c>
      <c r="AM19" s="24">
        <v>6</v>
      </c>
      <c r="AN19" s="28">
        <v>8</v>
      </c>
      <c r="AO19" s="26">
        <v>9</v>
      </c>
      <c r="AP19" s="27">
        <v>9</v>
      </c>
      <c r="AT19">
        <v>28</v>
      </c>
      <c r="AV19" s="33">
        <v>28</v>
      </c>
      <c r="AX19" s="1">
        <v>4</v>
      </c>
      <c r="AY19" s="1">
        <v>0</v>
      </c>
      <c r="BA19" s="29">
        <v>5</v>
      </c>
      <c r="BB19" s="32">
        <v>6</v>
      </c>
      <c r="BC19" s="16">
        <v>8</v>
      </c>
      <c r="BD19" s="16">
        <v>9</v>
      </c>
      <c r="BE19" s="16"/>
      <c r="BF19" s="31"/>
    </row>
    <row r="20" spans="1:58" x14ac:dyDescent="0.35">
      <c r="A20">
        <v>46</v>
      </c>
      <c r="B20">
        <v>47</v>
      </c>
      <c r="D20" s="1">
        <v>4</v>
      </c>
      <c r="E20" s="1">
        <v>2</v>
      </c>
      <c r="G20" s="14"/>
      <c r="H20" s="14"/>
      <c r="I20" s="14"/>
      <c r="J20" s="15">
        <v>9</v>
      </c>
      <c r="K20" s="15">
        <v>1</v>
      </c>
      <c r="L20" s="20">
        <v>6</v>
      </c>
      <c r="M20" s="18">
        <v>2</v>
      </c>
      <c r="N20" s="18">
        <v>5</v>
      </c>
      <c r="O20" s="18"/>
      <c r="P20" s="19"/>
      <c r="S20" s="4"/>
      <c r="X20" s="1">
        <v>6</v>
      </c>
      <c r="Y20" s="1">
        <v>2</v>
      </c>
      <c r="AA20" s="11">
        <v>7</v>
      </c>
      <c r="AB20" s="23">
        <v>2</v>
      </c>
      <c r="AC20" s="22">
        <v>6</v>
      </c>
      <c r="AD20" s="22"/>
      <c r="AF20">
        <v>56</v>
      </c>
      <c r="AH20" s="33">
        <v>46</v>
      </c>
      <c r="AJ20" s="1">
        <v>5</v>
      </c>
      <c r="AK20" s="1">
        <v>2</v>
      </c>
      <c r="AM20" s="24">
        <v>7</v>
      </c>
      <c r="AN20" s="28">
        <v>2</v>
      </c>
      <c r="AO20" s="26">
        <v>5</v>
      </c>
      <c r="AP20" s="27">
        <v>8</v>
      </c>
      <c r="AT20">
        <v>27</v>
      </c>
      <c r="AV20" s="33">
        <v>30</v>
      </c>
      <c r="AX20" s="1">
        <v>4</v>
      </c>
      <c r="AY20" s="1">
        <v>8</v>
      </c>
    </row>
    <row r="21" spans="1:58" x14ac:dyDescent="0.35">
      <c r="A21">
        <v>43</v>
      </c>
      <c r="B21">
        <v>43</v>
      </c>
      <c r="D21" s="1">
        <v>4</v>
      </c>
      <c r="E21" s="1">
        <v>2</v>
      </c>
      <c r="G21" s="14"/>
      <c r="H21" s="14"/>
      <c r="I21" s="14"/>
      <c r="J21" s="15"/>
      <c r="K21" s="15">
        <v>0</v>
      </c>
      <c r="L21" s="20">
        <v>7</v>
      </c>
      <c r="M21" s="18">
        <v>1</v>
      </c>
      <c r="N21" s="18">
        <v>7</v>
      </c>
      <c r="O21" s="18"/>
      <c r="P21" s="19"/>
      <c r="S21" s="1" t="s">
        <v>29</v>
      </c>
      <c r="T21" s="1"/>
      <c r="U21" s="1"/>
      <c r="V21" s="1"/>
      <c r="X21" s="1">
        <v>6</v>
      </c>
      <c r="Y21" s="1">
        <v>2</v>
      </c>
      <c r="AA21" s="11">
        <v>8</v>
      </c>
      <c r="AB21" s="23">
        <v>2</v>
      </c>
      <c r="AC21" s="22">
        <v>4</v>
      </c>
      <c r="AD21" s="22"/>
      <c r="AF21">
        <v>56</v>
      </c>
      <c r="AH21" s="33">
        <v>52</v>
      </c>
      <c r="AJ21" s="1">
        <v>5</v>
      </c>
      <c r="AK21" s="1">
        <v>6</v>
      </c>
      <c r="AM21" s="24">
        <v>8</v>
      </c>
      <c r="AN21" s="28">
        <v>2</v>
      </c>
      <c r="AO21" s="26"/>
      <c r="AP21" s="27"/>
      <c r="AT21">
        <v>25</v>
      </c>
      <c r="AV21" s="33">
        <v>39</v>
      </c>
      <c r="AX21" s="1">
        <v>4</v>
      </c>
      <c r="AY21" s="1">
        <v>9</v>
      </c>
    </row>
    <row r="22" spans="1:58" x14ac:dyDescent="0.35">
      <c r="A22">
        <v>43</v>
      </c>
      <c r="B22">
        <v>38</v>
      </c>
      <c r="D22" s="1">
        <v>4</v>
      </c>
      <c r="E22" s="1">
        <v>3</v>
      </c>
      <c r="S22" s="33">
        <v>3.2</v>
      </c>
      <c r="T22" s="33">
        <v>1.8</v>
      </c>
      <c r="U22" s="33">
        <v>4.5</v>
      </c>
      <c r="V22" s="33">
        <v>1.7</v>
      </c>
      <c r="X22" s="1">
        <v>6</v>
      </c>
      <c r="Y22" s="1">
        <v>6</v>
      </c>
      <c r="AA22" s="11">
        <v>9</v>
      </c>
      <c r="AB22" s="23">
        <v>1</v>
      </c>
      <c r="AC22" s="22">
        <v>7</v>
      </c>
      <c r="AD22" s="22"/>
      <c r="AF22">
        <v>52</v>
      </c>
      <c r="AH22" s="33">
        <v>56</v>
      </c>
      <c r="AJ22" s="1">
        <v>5</v>
      </c>
      <c r="AK22" s="1">
        <v>6</v>
      </c>
      <c r="AM22" s="24">
        <v>9</v>
      </c>
      <c r="AN22" s="28">
        <v>2</v>
      </c>
      <c r="AO22" s="26">
        <v>2</v>
      </c>
      <c r="AP22" s="27">
        <v>4</v>
      </c>
      <c r="AT22">
        <v>25</v>
      </c>
      <c r="AV22" s="33">
        <v>40</v>
      </c>
      <c r="AX22" s="1">
        <v>5</v>
      </c>
      <c r="AY22" s="1">
        <v>6</v>
      </c>
    </row>
    <row r="23" spans="1:58" x14ac:dyDescent="0.35">
      <c r="A23">
        <v>42</v>
      </c>
      <c r="B23">
        <v>27</v>
      </c>
      <c r="D23" s="1">
        <v>4</v>
      </c>
      <c r="E23" s="1">
        <v>3</v>
      </c>
      <c r="S23" s="33">
        <v>4.7</v>
      </c>
      <c r="T23" s="33">
        <v>2.2999999999999998</v>
      </c>
      <c r="U23" s="33">
        <v>5.9</v>
      </c>
      <c r="V23" s="33">
        <v>2.2000000000000002</v>
      </c>
      <c r="X23" s="1">
        <v>7</v>
      </c>
      <c r="Y23" s="1">
        <v>2</v>
      </c>
      <c r="AF23">
        <v>46</v>
      </c>
      <c r="AH23" s="33">
        <v>56</v>
      </c>
      <c r="AJ23" s="1">
        <v>6</v>
      </c>
      <c r="AK23" s="1">
        <v>8</v>
      </c>
      <c r="AT23">
        <v>22</v>
      </c>
      <c r="AV23" s="33">
        <v>48</v>
      </c>
      <c r="AX23" s="1">
        <v>5</v>
      </c>
      <c r="AY23" s="1">
        <v>8</v>
      </c>
    </row>
    <row r="24" spans="1:58" x14ac:dyDescent="0.35">
      <c r="A24">
        <v>42</v>
      </c>
      <c r="B24">
        <v>25</v>
      </c>
      <c r="D24" s="1">
        <v>4</v>
      </c>
      <c r="E24" s="1">
        <v>3</v>
      </c>
      <c r="S24" s="33">
        <v>5.4</v>
      </c>
      <c r="T24" s="33">
        <v>6.2</v>
      </c>
      <c r="U24" s="33">
        <v>8.1999999999999993</v>
      </c>
      <c r="V24" s="33">
        <v>2.8</v>
      </c>
      <c r="X24" s="1">
        <v>7</v>
      </c>
      <c r="Y24" s="1">
        <v>6</v>
      </c>
      <c r="AF24">
        <v>42</v>
      </c>
      <c r="AH24" s="33">
        <v>68</v>
      </c>
      <c r="AJ24" s="1">
        <v>6</v>
      </c>
      <c r="AK24" s="1">
        <v>9</v>
      </c>
      <c r="AT24">
        <v>16</v>
      </c>
      <c r="AV24" s="33">
        <v>49</v>
      </c>
      <c r="AX24" s="1">
        <v>5</v>
      </c>
      <c r="AY24" s="1">
        <v>9</v>
      </c>
    </row>
    <row r="25" spans="1:58" x14ac:dyDescent="0.35">
      <c r="A25">
        <v>30</v>
      </c>
      <c r="B25">
        <v>15</v>
      </c>
      <c r="D25" s="1">
        <v>4</v>
      </c>
      <c r="E25" s="1">
        <v>6</v>
      </c>
      <c r="S25" s="33">
        <v>6.2</v>
      </c>
      <c r="T25" s="33">
        <v>7.6</v>
      </c>
      <c r="U25" s="33">
        <v>9.1</v>
      </c>
      <c r="V25" s="33">
        <v>3.6</v>
      </c>
      <c r="X25" s="1">
        <v>8</v>
      </c>
      <c r="Y25" s="1">
        <v>2</v>
      </c>
      <c r="AF25">
        <v>42</v>
      </c>
      <c r="AH25" s="33">
        <v>69</v>
      </c>
      <c r="AJ25" s="1">
        <v>6</v>
      </c>
      <c r="AK25" s="1">
        <v>9</v>
      </c>
      <c r="AT25">
        <v>15</v>
      </c>
      <c r="AV25" s="33">
        <v>49</v>
      </c>
    </row>
    <row r="26" spans="1:58" x14ac:dyDescent="0.35">
      <c r="A26">
        <v>27</v>
      </c>
      <c r="B26">
        <v>14</v>
      </c>
      <c r="D26" s="1">
        <v>4</v>
      </c>
      <c r="E26" s="1">
        <v>7</v>
      </c>
      <c r="S26" s="33">
        <v>7.2</v>
      </c>
      <c r="T26" s="33">
        <v>8.4</v>
      </c>
      <c r="U26" s="33">
        <v>9.6999999999999993</v>
      </c>
      <c r="V26" s="33">
        <v>6.6</v>
      </c>
      <c r="X26" s="1">
        <v>8</v>
      </c>
      <c r="Y26" s="1">
        <v>4</v>
      </c>
      <c r="AF26">
        <v>34</v>
      </c>
      <c r="AH26" s="33">
        <v>69</v>
      </c>
      <c r="AJ26" s="1">
        <v>7</v>
      </c>
      <c r="AK26" s="1">
        <v>2</v>
      </c>
      <c r="AT26">
        <v>7</v>
      </c>
      <c r="AV26" s="33">
        <v>56</v>
      </c>
    </row>
    <row r="27" spans="1:58" x14ac:dyDescent="0.35">
      <c r="A27">
        <v>22</v>
      </c>
      <c r="B27">
        <v>13</v>
      </c>
      <c r="D27" s="1">
        <v>5</v>
      </c>
      <c r="E27" s="1">
        <v>2</v>
      </c>
      <c r="X27" s="1">
        <v>9</v>
      </c>
      <c r="Y27" s="1">
        <v>1</v>
      </c>
      <c r="AF27">
        <v>32</v>
      </c>
      <c r="AH27" s="33">
        <v>72</v>
      </c>
      <c r="AJ27" s="1">
        <v>7</v>
      </c>
      <c r="AK27" s="1">
        <v>5</v>
      </c>
      <c r="AT27">
        <v>4</v>
      </c>
      <c r="AV27" s="33">
        <v>58</v>
      </c>
    </row>
    <row r="28" spans="1:58" x14ac:dyDescent="0.35">
      <c r="A28">
        <v>12</v>
      </c>
      <c r="B28">
        <v>12</v>
      </c>
      <c r="D28" s="1">
        <v>5</v>
      </c>
      <c r="E28" s="1">
        <v>2</v>
      </c>
      <c r="X28" s="1">
        <v>9</v>
      </c>
      <c r="Y28" s="1">
        <v>7</v>
      </c>
      <c r="AF28">
        <v>32</v>
      </c>
      <c r="AH28" s="33">
        <v>75</v>
      </c>
      <c r="AJ28" s="1">
        <v>7</v>
      </c>
      <c r="AK28" s="1">
        <v>8</v>
      </c>
      <c r="AT28">
        <v>3</v>
      </c>
      <c r="AV28" s="33">
        <v>59</v>
      </c>
    </row>
    <row r="29" spans="1:58" x14ac:dyDescent="0.35">
      <c r="D29" s="1">
        <v>5</v>
      </c>
      <c r="E29" s="1">
        <v>4</v>
      </c>
      <c r="AF29">
        <v>26</v>
      </c>
      <c r="AH29" s="33">
        <v>78</v>
      </c>
      <c r="AJ29" s="1">
        <v>8</v>
      </c>
      <c r="AK29" s="1">
        <v>2</v>
      </c>
    </row>
    <row r="30" spans="1:58" x14ac:dyDescent="0.35">
      <c r="A30" s="4" t="s">
        <v>33</v>
      </c>
      <c r="D30" s="17">
        <v>5</v>
      </c>
      <c r="E30" s="1">
        <v>7</v>
      </c>
      <c r="AF30">
        <v>25</v>
      </c>
      <c r="AH30" s="33">
        <v>82</v>
      </c>
      <c r="AJ30" s="1">
        <v>9</v>
      </c>
      <c r="AK30" s="1">
        <v>2</v>
      </c>
    </row>
    <row r="31" spans="1:58" x14ac:dyDescent="0.35">
      <c r="A31" s="38" t="s">
        <v>28</v>
      </c>
      <c r="B31" s="5" t="s">
        <v>26</v>
      </c>
      <c r="D31" s="17">
        <v>5</v>
      </c>
      <c r="E31" s="1">
        <v>7</v>
      </c>
      <c r="AF31">
        <v>25</v>
      </c>
      <c r="AH31" s="33">
        <v>92</v>
      </c>
      <c r="AJ31" s="1">
        <v>9</v>
      </c>
      <c r="AK31" s="1">
        <v>2</v>
      </c>
    </row>
    <row r="32" spans="1:58" x14ac:dyDescent="0.35">
      <c r="A32" s="33">
        <v>12</v>
      </c>
      <c r="B32" s="33">
        <v>12</v>
      </c>
      <c r="D32" s="17">
        <v>6</v>
      </c>
      <c r="E32" s="1">
        <v>1</v>
      </c>
      <c r="X32" s="1" t="s">
        <v>2</v>
      </c>
      <c r="Y32" s="1" t="s">
        <v>1</v>
      </c>
      <c r="AF32">
        <v>12</v>
      </c>
      <c r="AH32" s="33">
        <v>92</v>
      </c>
      <c r="AJ32" s="1">
        <v>9</v>
      </c>
      <c r="AK32" s="1">
        <v>4</v>
      </c>
    </row>
    <row r="33" spans="1:34" x14ac:dyDescent="0.35">
      <c r="A33" s="33">
        <v>22</v>
      </c>
      <c r="B33" s="33">
        <v>13</v>
      </c>
      <c r="D33" s="17">
        <v>6</v>
      </c>
      <c r="E33" s="1">
        <v>2</v>
      </c>
      <c r="X33" s="1">
        <v>1</v>
      </c>
      <c r="Y33" s="1">
        <v>7</v>
      </c>
      <c r="AA33" s="56" t="s">
        <v>2</v>
      </c>
      <c r="AB33" s="57" t="s">
        <v>1</v>
      </c>
      <c r="AC33" s="57"/>
      <c r="AD33" s="57"/>
      <c r="AF33">
        <v>12</v>
      </c>
      <c r="AH33" s="33">
        <v>94</v>
      </c>
    </row>
    <row r="34" spans="1:34" x14ac:dyDescent="0.35">
      <c r="A34" s="33">
        <v>27</v>
      </c>
      <c r="B34" s="33">
        <v>14</v>
      </c>
      <c r="D34" s="17">
        <v>6</v>
      </c>
      <c r="E34" s="1">
        <v>5</v>
      </c>
      <c r="X34" s="1">
        <v>1</v>
      </c>
      <c r="Y34" s="1">
        <v>8</v>
      </c>
      <c r="AA34" s="56">
        <v>1</v>
      </c>
      <c r="AB34" s="57">
        <v>7</v>
      </c>
      <c r="AC34" s="57">
        <v>8</v>
      </c>
      <c r="AD34" s="57"/>
    </row>
    <row r="35" spans="1:34" x14ac:dyDescent="0.35">
      <c r="A35" s="33">
        <v>30</v>
      </c>
      <c r="B35" s="33">
        <v>15</v>
      </c>
      <c r="D35" s="17">
        <v>6</v>
      </c>
      <c r="E35" s="1">
        <v>9</v>
      </c>
      <c r="X35" s="1">
        <v>2</v>
      </c>
      <c r="Y35" s="1">
        <v>2</v>
      </c>
      <c r="AA35" s="56">
        <v>2</v>
      </c>
      <c r="AB35" s="57">
        <v>2</v>
      </c>
      <c r="AC35" s="57">
        <v>3</v>
      </c>
      <c r="AD35" s="57">
        <v>8</v>
      </c>
    </row>
    <row r="36" spans="1:34" x14ac:dyDescent="0.35">
      <c r="A36" s="33">
        <v>42</v>
      </c>
      <c r="B36" s="33">
        <v>25</v>
      </c>
      <c r="D36" s="17">
        <v>7</v>
      </c>
      <c r="E36" s="1">
        <v>0</v>
      </c>
      <c r="X36" s="1">
        <v>2</v>
      </c>
      <c r="Y36" s="1">
        <v>3</v>
      </c>
      <c r="AA36" s="56">
        <v>3</v>
      </c>
      <c r="AB36" s="57">
        <v>2</v>
      </c>
      <c r="AC36" s="57">
        <v>6</v>
      </c>
      <c r="AD36" s="57"/>
    </row>
    <row r="37" spans="1:34" x14ac:dyDescent="0.35">
      <c r="A37" s="33">
        <v>42</v>
      </c>
      <c r="B37" s="33">
        <v>27</v>
      </c>
      <c r="D37" s="17">
        <v>7</v>
      </c>
      <c r="E37" s="1">
        <v>1</v>
      </c>
      <c r="X37" s="1">
        <v>2</v>
      </c>
      <c r="Y37" s="1">
        <v>8</v>
      </c>
      <c r="AA37" s="56">
        <v>4</v>
      </c>
      <c r="AB37" s="57">
        <v>5</v>
      </c>
      <c r="AC37" s="57">
        <v>7</v>
      </c>
      <c r="AD37" s="57"/>
    </row>
    <row r="38" spans="1:34" x14ac:dyDescent="0.35">
      <c r="A38" s="33">
        <v>43</v>
      </c>
      <c r="B38" s="33">
        <v>38</v>
      </c>
      <c r="D38" s="17">
        <v>7</v>
      </c>
      <c r="E38" s="1">
        <v>7</v>
      </c>
      <c r="X38" s="1">
        <v>3</v>
      </c>
      <c r="Y38" s="1">
        <v>2</v>
      </c>
      <c r="AA38" s="56">
        <v>5</v>
      </c>
      <c r="AB38" s="57">
        <v>4</v>
      </c>
      <c r="AC38" s="57">
        <v>9</v>
      </c>
      <c r="AD38" s="57"/>
    </row>
    <row r="39" spans="1:34" x14ac:dyDescent="0.35">
      <c r="A39" s="33">
        <v>43</v>
      </c>
      <c r="B39" s="33">
        <v>43</v>
      </c>
      <c r="X39" s="1">
        <v>3</v>
      </c>
      <c r="Y39" s="1">
        <v>6</v>
      </c>
      <c r="AA39" s="56">
        <v>6</v>
      </c>
      <c r="AB39" s="57">
        <v>2</v>
      </c>
      <c r="AC39" s="57">
        <v>6</v>
      </c>
      <c r="AD39" s="57"/>
    </row>
    <row r="40" spans="1:34" x14ac:dyDescent="0.35">
      <c r="A40" s="33">
        <v>46</v>
      </c>
      <c r="B40" s="33">
        <v>47</v>
      </c>
      <c r="X40" s="1">
        <v>4</v>
      </c>
      <c r="Y40" s="1">
        <v>5</v>
      </c>
      <c r="AA40" s="56">
        <v>7</v>
      </c>
      <c r="AB40" s="57">
        <v>2</v>
      </c>
      <c r="AC40" s="57">
        <v>6</v>
      </c>
      <c r="AD40" s="57"/>
    </row>
    <row r="41" spans="1:34" x14ac:dyDescent="0.35">
      <c r="A41" s="33">
        <v>52</v>
      </c>
      <c r="B41" s="33">
        <v>52</v>
      </c>
      <c r="X41" s="1">
        <v>4</v>
      </c>
      <c r="Y41" s="1">
        <v>7</v>
      </c>
      <c r="AA41" s="56">
        <v>8</v>
      </c>
      <c r="AB41" s="57">
        <v>2</v>
      </c>
      <c r="AC41" s="57">
        <v>4</v>
      </c>
      <c r="AD41" s="57"/>
    </row>
    <row r="42" spans="1:34" x14ac:dyDescent="0.35">
      <c r="A42" s="33">
        <v>54</v>
      </c>
      <c r="B42" s="33">
        <v>57</v>
      </c>
      <c r="X42" s="1">
        <v>5</v>
      </c>
      <c r="Y42" s="1">
        <v>4</v>
      </c>
      <c r="AA42" s="56">
        <v>9</v>
      </c>
      <c r="AB42" s="57">
        <v>1</v>
      </c>
      <c r="AC42" s="57"/>
      <c r="AD42" s="57"/>
    </row>
    <row r="43" spans="1:34" x14ac:dyDescent="0.35">
      <c r="A43" s="33">
        <v>57</v>
      </c>
      <c r="B43" s="33">
        <v>62</v>
      </c>
      <c r="X43" s="1">
        <v>5</v>
      </c>
      <c r="Y43" s="1">
        <v>9</v>
      </c>
    </row>
    <row r="44" spans="1:34" x14ac:dyDescent="0.35">
      <c r="A44" s="33">
        <v>61</v>
      </c>
      <c r="B44" s="33">
        <v>65</v>
      </c>
      <c r="X44" s="1">
        <v>6</v>
      </c>
      <c r="Y44" s="1">
        <v>2</v>
      </c>
    </row>
    <row r="45" spans="1:34" x14ac:dyDescent="0.35">
      <c r="A45" s="33">
        <v>69</v>
      </c>
      <c r="B45" s="33">
        <v>71</v>
      </c>
      <c r="X45" s="1">
        <v>6</v>
      </c>
      <c r="Y45" s="1">
        <v>6</v>
      </c>
    </row>
    <row r="46" spans="1:34" x14ac:dyDescent="0.35">
      <c r="A46" s="33">
        <v>70</v>
      </c>
      <c r="B46" s="33">
        <v>77</v>
      </c>
      <c r="X46" s="1">
        <v>7</v>
      </c>
      <c r="Y46" s="1">
        <v>2</v>
      </c>
    </row>
    <row r="47" spans="1:34" x14ac:dyDescent="0.35">
      <c r="X47" s="1">
        <v>7</v>
      </c>
      <c r="Y47" s="1">
        <v>6</v>
      </c>
    </row>
    <row r="48" spans="1:34" x14ac:dyDescent="0.35">
      <c r="X48" s="1">
        <v>8</v>
      </c>
      <c r="Y48" s="1">
        <v>2</v>
      </c>
    </row>
    <row r="49" spans="24:25" x14ac:dyDescent="0.35">
      <c r="X49" s="1">
        <v>8</v>
      </c>
      <c r="Y49" s="1">
        <v>4</v>
      </c>
    </row>
    <row r="50" spans="24:25" x14ac:dyDescent="0.35">
      <c r="X50" s="1">
        <v>9</v>
      </c>
      <c r="Y50" s="1">
        <v>1</v>
      </c>
    </row>
    <row r="51" spans="24:25" x14ac:dyDescent="0.35">
      <c r="X51" s="1">
        <v>9</v>
      </c>
      <c r="Y51" s="1">
        <v>7</v>
      </c>
    </row>
  </sheetData>
  <sortState xmlns:xlrd2="http://schemas.microsoft.com/office/spreadsheetml/2017/richdata2" ref="AT10:AT28">
    <sortCondition descending="1" ref="AT10:AT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2581-01D1-49F7-AB2A-0D3F8D20EF06}">
  <dimension ref="A1:AI27"/>
  <sheetViews>
    <sheetView topLeftCell="A2" zoomScale="70" zoomScaleNormal="70" workbookViewId="0">
      <selection activeCell="P25" sqref="P25"/>
    </sheetView>
  </sheetViews>
  <sheetFormatPr defaultRowHeight="14.5" x14ac:dyDescent="0.35"/>
  <cols>
    <col min="21" max="21" width="27.54296875" customWidth="1"/>
  </cols>
  <sheetData>
    <row r="1" spans="1:35" ht="36" x14ac:dyDescent="0.8">
      <c r="U1" s="51" t="s">
        <v>58</v>
      </c>
    </row>
    <row r="3" spans="1:35" x14ac:dyDescent="0.35">
      <c r="A3" s="33" t="s">
        <v>0</v>
      </c>
      <c r="B3" s="33" t="s">
        <v>17</v>
      </c>
      <c r="L3" s="33" t="s">
        <v>18</v>
      </c>
      <c r="M3" s="33" t="s">
        <v>17</v>
      </c>
      <c r="W3" s="33" t="s">
        <v>0</v>
      </c>
      <c r="X3" s="33" t="s">
        <v>17</v>
      </c>
      <c r="AH3" s="33" t="s">
        <v>0</v>
      </c>
      <c r="AI3" s="33" t="s">
        <v>16</v>
      </c>
    </row>
    <row r="4" spans="1:35" x14ac:dyDescent="0.35">
      <c r="A4" s="33">
        <v>17</v>
      </c>
      <c r="B4" s="1">
        <f>COUNTIF($A$4:A4,A4)</f>
        <v>1</v>
      </c>
      <c r="L4" s="33">
        <v>29</v>
      </c>
      <c r="M4" s="1">
        <f t="array" ref="M4">COUNTIF($L$4:L4,L4)</f>
        <v>1</v>
      </c>
      <c r="W4" s="33">
        <v>49</v>
      </c>
      <c r="X4" s="1">
        <f t="array" ref="X4">COUNTIF($W$4:W4,W4)</f>
        <v>1</v>
      </c>
      <c r="AH4" s="33">
        <v>29</v>
      </c>
      <c r="AI4" s="1">
        <f>COUNTIF($AH$4:AH4,AH4)</f>
        <v>1</v>
      </c>
    </row>
    <row r="5" spans="1:35" x14ac:dyDescent="0.35">
      <c r="A5" s="33">
        <v>35</v>
      </c>
      <c r="B5" s="1">
        <f>COUNTIF($A$4:A5,A5)</f>
        <v>1</v>
      </c>
      <c r="L5" s="33">
        <v>65</v>
      </c>
      <c r="M5" s="1">
        <f>COUNTIF($L$4:L5,L5)</f>
        <v>1</v>
      </c>
      <c r="W5" s="33">
        <v>13</v>
      </c>
      <c r="X5" s="1">
        <f>COUNTIF($W$4:W5,W5)</f>
        <v>1</v>
      </c>
      <c r="AH5" s="33">
        <v>47</v>
      </c>
      <c r="AI5" s="1">
        <f>COUNTIF($AH$4:AH5,AH5)</f>
        <v>1</v>
      </c>
    </row>
    <row r="6" spans="1:35" x14ac:dyDescent="0.35">
      <c r="A6" s="33">
        <v>20</v>
      </c>
      <c r="B6" s="1">
        <f>COUNTIF($A$4:A6,A6)</f>
        <v>1</v>
      </c>
      <c r="L6" s="33">
        <v>50</v>
      </c>
      <c r="M6" s="1">
        <f>COUNTIF($L$4:L6,L6)</f>
        <v>1</v>
      </c>
      <c r="W6" s="33">
        <v>52</v>
      </c>
      <c r="X6" s="1">
        <f>COUNTIF($W$4:W6,W6)</f>
        <v>1</v>
      </c>
      <c r="AH6" s="33">
        <v>20</v>
      </c>
      <c r="AI6" s="1">
        <f>COUNTIF($AH$4:AH6,AH6)</f>
        <v>1</v>
      </c>
    </row>
    <row r="7" spans="1:35" x14ac:dyDescent="0.35">
      <c r="A7" s="33">
        <v>60</v>
      </c>
      <c r="B7" s="1">
        <f>COUNTIF($A$4:A7,A7)</f>
        <v>1</v>
      </c>
      <c r="L7" s="33">
        <v>65</v>
      </c>
      <c r="M7" s="1">
        <f>COUNTIF($L$4:L7,L7)</f>
        <v>2</v>
      </c>
      <c r="W7" s="33">
        <v>69</v>
      </c>
      <c r="X7" s="1">
        <f>COUNTIF($W$4:W7,W7)</f>
        <v>1</v>
      </c>
      <c r="AH7" s="33">
        <v>60</v>
      </c>
      <c r="AI7" s="1">
        <f>COUNTIF($AH$4:AH7,AH7)</f>
        <v>1</v>
      </c>
    </row>
    <row r="8" spans="1:35" x14ac:dyDescent="0.35">
      <c r="A8" s="33">
        <v>66</v>
      </c>
      <c r="B8" s="1">
        <f>COUNTIF($A$4:A8,A8)</f>
        <v>1</v>
      </c>
      <c r="L8" s="33">
        <v>28</v>
      </c>
      <c r="M8" s="1">
        <f>COUNTIF($L$4:L8,L8)</f>
        <v>1</v>
      </c>
      <c r="W8" s="33">
        <v>69</v>
      </c>
      <c r="X8" s="1">
        <f>COUNTIF($W$4:W8,W8)</f>
        <v>2</v>
      </c>
      <c r="AH8" s="33">
        <v>30</v>
      </c>
      <c r="AI8" s="1">
        <f>COUNTIF($AH$4:AH8,AH8)</f>
        <v>1</v>
      </c>
    </row>
    <row r="9" spans="1:35" x14ac:dyDescent="0.35">
      <c r="A9" s="33">
        <v>9</v>
      </c>
      <c r="B9" s="1">
        <f>COUNTIF($A$4:A9,A9)</f>
        <v>1</v>
      </c>
      <c r="L9" s="33">
        <v>50</v>
      </c>
      <c r="M9" s="1">
        <f>COUNTIF($L$4:L9,L9)</f>
        <v>2</v>
      </c>
      <c r="W9" s="33">
        <v>55</v>
      </c>
      <c r="X9" s="1">
        <f>COUNTIF($W$4:W9,W9)</f>
        <v>1</v>
      </c>
      <c r="AH9" s="33">
        <v>5</v>
      </c>
      <c r="AI9" s="1">
        <f>COUNTIF($AH$4:AH9,AH9)</f>
        <v>1</v>
      </c>
    </row>
    <row r="10" spans="1:35" x14ac:dyDescent="0.35">
      <c r="A10" s="33">
        <v>65</v>
      </c>
      <c r="B10" s="1">
        <f>COUNTIF($A$4:A10,A10)</f>
        <v>1</v>
      </c>
      <c r="L10" s="33">
        <v>24</v>
      </c>
      <c r="M10" s="1">
        <f>COUNTIF($L$4:L10,L10)</f>
        <v>1</v>
      </c>
      <c r="W10" s="33">
        <v>14</v>
      </c>
      <c r="X10" s="1">
        <f>COUNTIF($W$4:W10,W10)</f>
        <v>1</v>
      </c>
      <c r="AH10" s="33">
        <v>22</v>
      </c>
      <c r="AI10" s="1">
        <f>COUNTIF($AH$4:AH10,AH10)</f>
        <v>1</v>
      </c>
    </row>
    <row r="11" spans="1:35" x14ac:dyDescent="0.35">
      <c r="A11" s="33">
        <v>8</v>
      </c>
      <c r="B11" s="1">
        <f>COUNTIF($A$4:A11,A11)</f>
        <v>1</v>
      </c>
      <c r="L11" s="33">
        <v>59</v>
      </c>
      <c r="M11" s="1">
        <f>COUNTIF($L$4:L11,L11)</f>
        <v>1</v>
      </c>
      <c r="W11" s="33">
        <v>57</v>
      </c>
      <c r="X11" s="1">
        <f>COUNTIF($W$4:W11,W11)</f>
        <v>1</v>
      </c>
      <c r="AH11" s="33">
        <v>22</v>
      </c>
      <c r="AI11" s="1">
        <f>COUNTIF($AH$4:AH11,AH11)</f>
        <v>2</v>
      </c>
    </row>
    <row r="12" spans="1:35" x14ac:dyDescent="0.35">
      <c r="A12" s="33">
        <v>44</v>
      </c>
      <c r="B12" s="1">
        <f>COUNTIF($A$4:A12,A12)</f>
        <v>1</v>
      </c>
      <c r="L12" s="33">
        <v>16</v>
      </c>
      <c r="M12" s="1">
        <f>COUNTIF($L$4:L12,L12)</f>
        <v>1</v>
      </c>
      <c r="W12" s="33">
        <v>8</v>
      </c>
      <c r="X12" s="1">
        <f>COUNTIF($W$4:W12,W12)</f>
        <v>1</v>
      </c>
      <c r="AH12" s="33">
        <v>22</v>
      </c>
      <c r="AI12" s="1">
        <f>COUNTIF($AH$4:AH12,AH12)</f>
        <v>3</v>
      </c>
    </row>
    <row r="13" spans="1:35" x14ac:dyDescent="0.35">
      <c r="A13" s="33">
        <v>57</v>
      </c>
      <c r="B13" s="1">
        <f>COUNTIF($A$4:A13,A13)</f>
        <v>1</v>
      </c>
      <c r="L13" s="33">
        <v>65</v>
      </c>
      <c r="M13" s="1">
        <f>COUNTIF($L$4:L13,L13)</f>
        <v>3</v>
      </c>
      <c r="W13" s="33">
        <v>54</v>
      </c>
      <c r="X13" s="1">
        <f>COUNTIF($W$4:W13,W13)</f>
        <v>1</v>
      </c>
      <c r="AH13" s="33">
        <v>22</v>
      </c>
      <c r="AI13" s="1">
        <f>COUNTIF($AH$4:AH13,AH13)</f>
        <v>4</v>
      </c>
    </row>
    <row r="14" spans="1:35" x14ac:dyDescent="0.35">
      <c r="A14" s="33">
        <v>50</v>
      </c>
      <c r="B14" s="1">
        <f>COUNTIF($A$4:A14,A14)</f>
        <v>1</v>
      </c>
      <c r="L14" s="33">
        <v>38</v>
      </c>
      <c r="M14" s="1">
        <f>COUNTIF($L$4:L14,L14)</f>
        <v>1</v>
      </c>
      <c r="W14" s="33">
        <v>33</v>
      </c>
      <c r="X14" s="1">
        <f>COUNTIF($W$4:W14,W14)</f>
        <v>1</v>
      </c>
      <c r="AH14" s="33">
        <v>41</v>
      </c>
      <c r="AI14" s="1">
        <f>COUNTIF($AH$4:AH14,AH14)</f>
        <v>1</v>
      </c>
    </row>
    <row r="15" spans="1:35" x14ac:dyDescent="0.35">
      <c r="A15" s="33">
        <v>68</v>
      </c>
      <c r="B15" s="1">
        <f>COUNTIF($A$4:A15,A15)</f>
        <v>1</v>
      </c>
      <c r="L15" s="33">
        <v>69</v>
      </c>
      <c r="M15" s="1">
        <f>COUNTIF($L$4:L15,L15)</f>
        <v>1</v>
      </c>
      <c r="W15" s="33">
        <v>42</v>
      </c>
      <c r="X15" s="1">
        <f>COUNTIF($W$4:W15,W15)</f>
        <v>1</v>
      </c>
      <c r="AH15" s="33">
        <v>69</v>
      </c>
      <c r="AI15" s="1">
        <f>COUNTIF($AH$4:AH15,AH15)</f>
        <v>1</v>
      </c>
    </row>
    <row r="16" spans="1:35" x14ac:dyDescent="0.35">
      <c r="A16" s="33">
        <v>21</v>
      </c>
      <c r="B16" s="1">
        <f>COUNTIF($A$4:A16,A16)</f>
        <v>1</v>
      </c>
      <c r="L16" s="33">
        <v>68</v>
      </c>
      <c r="M16" s="1">
        <f>COUNTIF($L$4:L16,L16)</f>
        <v>1</v>
      </c>
      <c r="W16" s="33">
        <v>69</v>
      </c>
      <c r="X16" s="1">
        <f>COUNTIF($W$4:W16,W16)</f>
        <v>3</v>
      </c>
      <c r="AH16" s="33">
        <v>59</v>
      </c>
      <c r="AI16" s="1">
        <f>COUNTIF($AH$4:AH16,AH16)</f>
        <v>1</v>
      </c>
    </row>
    <row r="17" spans="1:35" x14ac:dyDescent="0.35">
      <c r="A17" s="33">
        <v>32</v>
      </c>
      <c r="B17" s="1">
        <f>COUNTIF($A$4:A17,A17)</f>
        <v>1</v>
      </c>
      <c r="L17" s="33">
        <v>18</v>
      </c>
      <c r="M17" s="1">
        <f>COUNTIF($L$4:L17,L17)</f>
        <v>1</v>
      </c>
      <c r="W17" s="33">
        <v>13</v>
      </c>
      <c r="X17" s="1">
        <f>COUNTIF($W$4:W17,W17)</f>
        <v>2</v>
      </c>
      <c r="AH17" s="33">
        <v>47</v>
      </c>
      <c r="AI17" s="1">
        <f>COUNTIF($AH$4:AH17,AH17)</f>
        <v>2</v>
      </c>
    </row>
    <row r="18" spans="1:35" x14ac:dyDescent="0.35">
      <c r="A18" s="33">
        <v>15</v>
      </c>
      <c r="B18" s="1">
        <f>COUNTIF($A$4:A18,A18)</f>
        <v>1</v>
      </c>
      <c r="L18" s="33">
        <v>66</v>
      </c>
      <c r="M18" s="1">
        <f>COUNTIF($L$4:L18,L18)</f>
        <v>1</v>
      </c>
      <c r="W18" s="33">
        <v>8</v>
      </c>
      <c r="X18" s="1">
        <f>COUNTIF($W$4:W18,W18)</f>
        <v>2</v>
      </c>
      <c r="AH18" s="33">
        <v>52</v>
      </c>
      <c r="AI18" s="1">
        <f>COUNTIF($AH$4:AH18,AH18)</f>
        <v>1</v>
      </c>
    </row>
    <row r="19" spans="1:35" x14ac:dyDescent="0.35">
      <c r="A19" s="33">
        <v>56</v>
      </c>
      <c r="B19" s="1">
        <f>COUNTIF($A$4:A19,A19)</f>
        <v>1</v>
      </c>
      <c r="L19" s="33">
        <v>46</v>
      </c>
      <c r="M19" s="1">
        <f>COUNTIF($L$4:L19,L19)</f>
        <v>1</v>
      </c>
      <c r="W19" s="33">
        <v>4</v>
      </c>
      <c r="X19" s="1">
        <f>COUNTIF($W$4:W19,W19)</f>
        <v>1</v>
      </c>
      <c r="AH19" s="33">
        <v>60</v>
      </c>
      <c r="AI19" s="1">
        <f>COUNTIF($AH$4:AH19,AH19)</f>
        <v>2</v>
      </c>
    </row>
    <row r="20" spans="1:35" x14ac:dyDescent="0.35">
      <c r="A20" s="33">
        <v>61</v>
      </c>
      <c r="B20" s="1">
        <f>COUNTIF($A$4:A20,A20)</f>
        <v>1</v>
      </c>
      <c r="L20" s="33">
        <v>60</v>
      </c>
      <c r="M20" s="1">
        <f>COUNTIF($L$4:L20,L20)</f>
        <v>1</v>
      </c>
      <c r="W20" s="33">
        <v>5</v>
      </c>
      <c r="X20" s="1">
        <f>COUNTIF($W$4:W20,W20)</f>
        <v>1</v>
      </c>
      <c r="AH20" s="33">
        <v>61</v>
      </c>
      <c r="AI20" s="1">
        <f>COUNTIF($AH$4:AH20,AH20)</f>
        <v>1</v>
      </c>
    </row>
    <row r="21" spans="1:35" x14ac:dyDescent="0.35">
      <c r="A21" s="33">
        <v>61</v>
      </c>
      <c r="B21" s="1">
        <f>COUNTIF($A$4:A21,A21)</f>
        <v>2</v>
      </c>
      <c r="L21" s="33">
        <v>54</v>
      </c>
      <c r="M21" s="1">
        <f>COUNTIF($L$4:L21,L21)</f>
        <v>1</v>
      </c>
      <c r="W21" s="33">
        <v>18</v>
      </c>
      <c r="X21" s="1">
        <f>COUNTIF($W$4:W21,W21)</f>
        <v>1</v>
      </c>
      <c r="AH21" s="33">
        <v>61</v>
      </c>
      <c r="AI21" s="1">
        <f>COUNTIF($AH$4:AH21,AH21)</f>
        <v>2</v>
      </c>
    </row>
    <row r="22" spans="1:35" x14ac:dyDescent="0.35">
      <c r="A22" s="33">
        <v>43</v>
      </c>
      <c r="B22" s="1">
        <f>COUNTIF($A$4:A22,A22)</f>
        <v>1</v>
      </c>
      <c r="L22" s="33">
        <v>28</v>
      </c>
      <c r="M22" s="1">
        <f>COUNTIF($L$4:L22,L22)</f>
        <v>2</v>
      </c>
      <c r="W22" s="33">
        <v>7</v>
      </c>
      <c r="X22" s="1">
        <f>COUNTIF($W$4:W22,W22)</f>
        <v>1</v>
      </c>
      <c r="AH22" s="33">
        <v>20</v>
      </c>
      <c r="AI22" s="1">
        <f>COUNTIF($AH$4:AH22,AH22)</f>
        <v>2</v>
      </c>
    </row>
    <row r="23" spans="1:35" x14ac:dyDescent="0.35">
      <c r="A23" s="33">
        <v>60</v>
      </c>
      <c r="B23" s="1">
        <f>COUNTIF($A$4:A23,A23)</f>
        <v>2</v>
      </c>
      <c r="L23" s="33">
        <v>39</v>
      </c>
      <c r="M23" s="1">
        <f>COUNTIF($L$4:L23,L23)</f>
        <v>1</v>
      </c>
      <c r="W23" s="33">
        <v>29</v>
      </c>
      <c r="X23" s="1">
        <f>COUNTIF($W$4:W23,W23)</f>
        <v>1</v>
      </c>
      <c r="AH23" s="33">
        <v>58</v>
      </c>
      <c r="AI23" s="1">
        <f>COUNTIF($AH$4:AH23,AH23)</f>
        <v>1</v>
      </c>
    </row>
    <row r="24" spans="1:35" x14ac:dyDescent="0.35">
      <c r="A24" s="33">
        <v>52</v>
      </c>
      <c r="B24" s="1">
        <f>COUNTIF($A$4:A24,A24)</f>
        <v>1</v>
      </c>
      <c r="L24" s="33">
        <v>70</v>
      </c>
      <c r="M24" s="1">
        <f>COUNTIF($L$4:L24,L24)</f>
        <v>1</v>
      </c>
      <c r="W24" s="33">
        <v>52</v>
      </c>
      <c r="X24" s="1">
        <f>COUNTIF($W$4:W24,W24)</f>
        <v>2</v>
      </c>
      <c r="AH24" s="33">
        <v>60</v>
      </c>
      <c r="AI24" s="1">
        <f>COUNTIF($AH$4:AH24,AH24)</f>
        <v>3</v>
      </c>
    </row>
    <row r="25" spans="1:35" x14ac:dyDescent="0.35">
      <c r="A25" s="33">
        <v>53</v>
      </c>
      <c r="B25" s="1">
        <f>COUNTIF($A$4:A25,A25)</f>
        <v>1</v>
      </c>
      <c r="L25" s="33">
        <v>75</v>
      </c>
      <c r="M25" s="1">
        <f>COUNTIF($L$4:L25,L25)</f>
        <v>1</v>
      </c>
      <c r="W25" s="33">
        <v>13</v>
      </c>
      <c r="X25" s="1">
        <f>COUNTIF($W$4:W25,W25)</f>
        <v>3</v>
      </c>
      <c r="AH25" s="33">
        <v>88</v>
      </c>
      <c r="AI25" s="1">
        <f>COUNTIF($AH$4:AH25,AH25)</f>
        <v>1</v>
      </c>
    </row>
    <row r="26" spans="1:35" x14ac:dyDescent="0.35">
      <c r="A26" s="33">
        <v>69</v>
      </c>
      <c r="B26" s="1">
        <f>COUNTIF($A$4:A26,A26)</f>
        <v>1</v>
      </c>
      <c r="L26" s="33">
        <v>61</v>
      </c>
      <c r="M26" s="1">
        <f>COUNTIF($L$4:L26,L26)</f>
        <v>1</v>
      </c>
      <c r="W26" s="33">
        <v>54</v>
      </c>
      <c r="X26" s="1">
        <f>COUNTIF($W$4:W26,W26)</f>
        <v>2</v>
      </c>
      <c r="AH26" s="33">
        <v>65</v>
      </c>
      <c r="AI26" s="1">
        <f>COUNTIF($AH$4:AH26,AH26)</f>
        <v>1</v>
      </c>
    </row>
    <row r="27" spans="1:35" x14ac:dyDescent="0.35">
      <c r="A27" s="33">
        <v>51</v>
      </c>
      <c r="B27" s="1">
        <f>COUNTIF($A$4:A27,A27)</f>
        <v>1</v>
      </c>
      <c r="L27" s="33">
        <v>41</v>
      </c>
      <c r="M27" s="1">
        <f>COUNTIF($L$4:L27,L27)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31D9-05BB-4772-83E6-59CDB6923804}">
  <dimension ref="A1:AV66"/>
  <sheetViews>
    <sheetView tabSelected="1" zoomScale="40" zoomScaleNormal="40" workbookViewId="0">
      <selection activeCell="Z68" sqref="Z68"/>
    </sheetView>
  </sheetViews>
  <sheetFormatPr defaultColWidth="9.1796875" defaultRowHeight="14.5" x14ac:dyDescent="0.35"/>
  <cols>
    <col min="1" max="1" width="17.453125" style="2" customWidth="1"/>
    <col min="2" max="2" width="14" style="2" customWidth="1"/>
    <col min="3" max="3" width="13.26953125" style="2" customWidth="1"/>
    <col min="4" max="4" width="19.54296875" style="2" customWidth="1"/>
    <col min="5" max="5" width="11.81640625" style="2" customWidth="1"/>
    <col min="6" max="9" width="9.1796875" style="2"/>
    <col min="10" max="10" width="12.26953125" style="2" customWidth="1"/>
    <col min="11" max="11" width="10.54296875" style="2" customWidth="1"/>
    <col min="12" max="12" width="12" style="2" customWidth="1"/>
    <col min="13" max="13" width="9.1796875" style="2"/>
    <col min="14" max="14" width="74" style="2" customWidth="1"/>
    <col min="15" max="15" width="45.81640625" style="2" customWidth="1"/>
    <col min="16" max="16" width="23.453125" style="2" customWidth="1"/>
    <col min="17" max="17" width="9.1796875" style="2" customWidth="1"/>
    <col min="18" max="18" width="14" style="2" customWidth="1"/>
    <col min="19" max="19" width="24.7265625" style="2" customWidth="1"/>
    <col min="20" max="20" width="19" style="2" customWidth="1"/>
    <col min="21" max="21" width="16.81640625" style="2" customWidth="1"/>
    <col min="22" max="30" width="9.1796875" style="2"/>
    <col min="31" max="31" width="18.453125" style="2" customWidth="1"/>
    <col min="32" max="32" width="11.7265625" style="2" customWidth="1"/>
    <col min="33" max="33" width="20.453125" style="2" customWidth="1"/>
    <col min="34" max="34" width="12.81640625" style="2" customWidth="1"/>
    <col min="35" max="44" width="9.1796875" style="2"/>
    <col min="45" max="45" width="14.26953125" style="2" customWidth="1"/>
    <col min="46" max="46" width="18.7265625" style="2" customWidth="1"/>
    <col min="47" max="47" width="20.7265625" style="2" customWidth="1"/>
    <col min="48" max="48" width="11.7265625" style="2" customWidth="1"/>
    <col min="49" max="16384" width="9.1796875" style="2"/>
  </cols>
  <sheetData>
    <row r="1" spans="1:48" ht="46" x14ac:dyDescent="1">
      <c r="N1" s="52" t="s">
        <v>56</v>
      </c>
    </row>
    <row r="2" spans="1:48" x14ac:dyDescent="0.35">
      <c r="D2" s="3"/>
      <c r="AE2" s="36" t="s">
        <v>13</v>
      </c>
    </row>
    <row r="3" spans="1:48" x14ac:dyDescent="0.35">
      <c r="AE3" s="37">
        <v>20</v>
      </c>
      <c r="AS3" s="36" t="s">
        <v>19</v>
      </c>
      <c r="AV3"/>
    </row>
    <row r="4" spans="1:48" x14ac:dyDescent="0.35">
      <c r="A4" s="36" t="s">
        <v>15</v>
      </c>
      <c r="N4" s="53"/>
      <c r="AE4" s="37">
        <v>20</v>
      </c>
      <c r="AG4" s="36" t="s">
        <v>7</v>
      </c>
      <c r="AH4" s="37">
        <f>AVERAGE(AE3:AE41)</f>
        <v>28.487179487179485</v>
      </c>
      <c r="AS4" s="37">
        <v>35</v>
      </c>
      <c r="AU4" s="4"/>
    </row>
    <row r="5" spans="1:48" x14ac:dyDescent="0.35">
      <c r="A5" s="37">
        <v>3</v>
      </c>
      <c r="AE5" s="37">
        <v>20</v>
      </c>
      <c r="AG5" s="36" t="s">
        <v>10</v>
      </c>
      <c r="AH5" s="37">
        <f t="array" ref="AH5">MEDIAN(AE3:AE41)</f>
        <v>28</v>
      </c>
      <c r="AS5" s="37">
        <v>50</v>
      </c>
      <c r="AU5" s="4"/>
    </row>
    <row r="6" spans="1:48" x14ac:dyDescent="0.35">
      <c r="A6" s="37">
        <v>59</v>
      </c>
      <c r="P6" s="36" t="s">
        <v>14</v>
      </c>
      <c r="R6" s="36" t="s">
        <v>12</v>
      </c>
      <c r="S6" s="37">
        <f t="array" ref="S6">MIN(P7:P45)</f>
        <v>1</v>
      </c>
      <c r="AE6" s="37">
        <v>21</v>
      </c>
      <c r="AG6" s="36" t="s">
        <v>11</v>
      </c>
      <c r="AH6" s="37">
        <f>_xlfn.QUARTILE.EXC(AE3:AE41,1)</f>
        <v>22</v>
      </c>
      <c r="AS6" s="37">
        <v>31</v>
      </c>
      <c r="AU6" s="4"/>
    </row>
    <row r="7" spans="1:48" x14ac:dyDescent="0.35">
      <c r="A7" s="37">
        <v>26</v>
      </c>
      <c r="P7" s="37">
        <v>1</v>
      </c>
      <c r="R7" s="36" t="s">
        <v>11</v>
      </c>
      <c r="S7" s="37">
        <f>_xlfn.QUARTILE.EXC(P7:P45,1)</f>
        <v>7</v>
      </c>
      <c r="AE7" s="37">
        <v>21</v>
      </c>
      <c r="AG7" s="36" t="s">
        <v>9</v>
      </c>
      <c r="AH7" s="37">
        <f>_xlfn.QUARTILE.EXC(AE3:AE41,3)</f>
        <v>34</v>
      </c>
      <c r="AS7" s="37">
        <v>11</v>
      </c>
      <c r="AU7" s="33" t="s">
        <v>12</v>
      </c>
      <c r="AV7" s="37">
        <f t="array" ref="AV7">MIN(AS4:AS22)</f>
        <v>9</v>
      </c>
    </row>
    <row r="8" spans="1:48" x14ac:dyDescent="0.35">
      <c r="A8" s="37">
        <v>42</v>
      </c>
      <c r="P8" s="37">
        <v>1</v>
      </c>
      <c r="R8" s="36" t="s">
        <v>10</v>
      </c>
      <c r="S8" s="37">
        <f>MEDIAN(P7:P45)</f>
        <v>15</v>
      </c>
      <c r="AE8" s="37">
        <v>21</v>
      </c>
      <c r="AG8" s="36" t="s">
        <v>8</v>
      </c>
      <c r="AH8" s="37">
        <f>MAX(AE3:AE41)</f>
        <v>39</v>
      </c>
      <c r="AS8" s="37">
        <v>44</v>
      </c>
      <c r="AU8" s="33" t="s">
        <v>20</v>
      </c>
      <c r="AV8" s="37">
        <f>MAX(AS4:AS22)</f>
        <v>64</v>
      </c>
    </row>
    <row r="9" spans="1:48" x14ac:dyDescent="0.35">
      <c r="A9" s="37">
        <v>3</v>
      </c>
      <c r="P9" s="37">
        <v>3</v>
      </c>
      <c r="R9" s="36" t="s">
        <v>9</v>
      </c>
      <c r="S9" s="37">
        <f>_xlfn.QUARTILE.EXC(P7:P45,3)</f>
        <v>29</v>
      </c>
      <c r="AE9" s="37">
        <v>22</v>
      </c>
      <c r="AG9" s="36" t="s">
        <v>12</v>
      </c>
      <c r="AH9" s="37">
        <f>MIN(AE3:AE41)</f>
        <v>20</v>
      </c>
      <c r="AS9" s="37">
        <v>31</v>
      </c>
      <c r="AU9" s="33" t="s">
        <v>7</v>
      </c>
      <c r="AV9" s="37">
        <f>AVERAGE(AS4:AS22)</f>
        <v>31.263157894736842</v>
      </c>
    </row>
    <row r="10" spans="1:48" x14ac:dyDescent="0.35">
      <c r="A10" s="37">
        <v>38</v>
      </c>
      <c r="E10" s="3"/>
      <c r="P10" s="37">
        <v>3</v>
      </c>
      <c r="R10" s="36" t="s">
        <v>8</v>
      </c>
      <c r="S10" s="37">
        <f>MAX(P7:P45)</f>
        <v>40</v>
      </c>
      <c r="AE10" s="37">
        <v>22</v>
      </c>
      <c r="AG10" s="36" t="s">
        <v>6</v>
      </c>
      <c r="AH10" s="37">
        <f>AH7-AH6</f>
        <v>12</v>
      </c>
      <c r="AS10" s="37">
        <v>29</v>
      </c>
      <c r="AU10" s="33" t="s">
        <v>11</v>
      </c>
      <c r="AV10" s="37">
        <f t="array" ref="AV10">_xlfn.QUARTILE.EXC(AS4:AS22,1)</f>
        <v>15</v>
      </c>
    </row>
    <row r="11" spans="1:48" x14ac:dyDescent="0.35">
      <c r="A11" s="37">
        <v>1</v>
      </c>
      <c r="C11" s="36" t="s">
        <v>12</v>
      </c>
      <c r="D11" s="37">
        <f t="array" ref="D11">MIN(A5:A23)</f>
        <v>1</v>
      </c>
      <c r="P11" s="37">
        <v>4</v>
      </c>
      <c r="R11" s="36" t="s">
        <v>7</v>
      </c>
      <c r="S11" s="37">
        <f>AVERAGE(P7:P45)</f>
        <v>17.897435897435898</v>
      </c>
      <c r="AE11" s="37">
        <v>22</v>
      </c>
      <c r="AG11" s="36" t="s">
        <v>5</v>
      </c>
      <c r="AH11" s="37">
        <f>AH6-(1.5*AH10)</f>
        <v>4</v>
      </c>
      <c r="AS11" s="37">
        <v>56</v>
      </c>
      <c r="AU11" s="33" t="s">
        <v>21</v>
      </c>
      <c r="AV11" s="37">
        <f t="array" ref="AV11">MEDIAN(AS4:AS22)</f>
        <v>31</v>
      </c>
    </row>
    <row r="12" spans="1:48" x14ac:dyDescent="0.35">
      <c r="A12" s="37">
        <v>29</v>
      </c>
      <c r="C12" s="36" t="s">
        <v>11</v>
      </c>
      <c r="D12" s="37">
        <f t="array" ref="D12">_xlfn.QUARTILE.EXC(A5:A23,1)</f>
        <v>12</v>
      </c>
      <c r="P12" s="37">
        <v>6</v>
      </c>
      <c r="R12" s="36" t="s">
        <v>6</v>
      </c>
      <c r="S12" s="37">
        <f>S9-S7</f>
        <v>22</v>
      </c>
      <c r="AE12" s="37">
        <v>22</v>
      </c>
      <c r="AG12" s="36" t="s">
        <v>4</v>
      </c>
      <c r="AH12" s="37">
        <f>AH7+(1.5*AH10)</f>
        <v>52</v>
      </c>
      <c r="AS12" s="37">
        <v>22</v>
      </c>
      <c r="AU12" s="33" t="s">
        <v>9</v>
      </c>
      <c r="AV12" s="37">
        <f t="array" ref="AV12">_xlfn.QUARTILE.EXC(AS4:AS22,3)</f>
        <v>44</v>
      </c>
    </row>
    <row r="13" spans="1:48" x14ac:dyDescent="0.35">
      <c r="A13" s="37">
        <v>53</v>
      </c>
      <c r="C13" s="36" t="s">
        <v>10</v>
      </c>
      <c r="D13" s="37">
        <f t="array" ref="D13">MEDIAN(A5:A23)</f>
        <v>29</v>
      </c>
      <c r="P13" s="37">
        <v>6</v>
      </c>
      <c r="R13" s="36" t="s">
        <v>5</v>
      </c>
      <c r="S13" s="37">
        <f>S7-(1.5*S12)</f>
        <v>-26</v>
      </c>
      <c r="AE13" s="37">
        <v>22</v>
      </c>
      <c r="AS13" s="37">
        <v>15</v>
      </c>
      <c r="AU13" s="36" t="s">
        <v>6</v>
      </c>
      <c r="AV13" s="37">
        <f>AV12-AV10</f>
        <v>29</v>
      </c>
    </row>
    <row r="14" spans="1:48" x14ac:dyDescent="0.35">
      <c r="A14" s="37">
        <v>23</v>
      </c>
      <c r="C14" s="36" t="s">
        <v>9</v>
      </c>
      <c r="D14" s="37">
        <f t="array" ref="D14">_xlfn.QUARTILE.EXC(A5:A23,3)</f>
        <v>56</v>
      </c>
      <c r="P14" s="37">
        <v>7</v>
      </c>
      <c r="R14" s="36" t="s">
        <v>4</v>
      </c>
      <c r="S14" s="37">
        <f>S9+(1.5*S12)</f>
        <v>62</v>
      </c>
      <c r="AE14" s="37">
        <v>22</v>
      </c>
      <c r="AS14" s="37">
        <v>50</v>
      </c>
      <c r="AU14" s="36" t="s">
        <v>22</v>
      </c>
      <c r="AV14" s="37">
        <f>AV10-(1.5*AV13)</f>
        <v>-28.5</v>
      </c>
    </row>
    <row r="15" spans="1:48" x14ac:dyDescent="0.35">
      <c r="A15" s="37">
        <v>58</v>
      </c>
      <c r="C15" s="36" t="s">
        <v>8</v>
      </c>
      <c r="D15" s="37">
        <f t="array" ref="D15">MAX(A5:A23)</f>
        <v>60</v>
      </c>
      <c r="P15" s="37">
        <v>7</v>
      </c>
      <c r="AE15" s="37">
        <v>23</v>
      </c>
      <c r="AS15" s="37">
        <v>13</v>
      </c>
      <c r="AU15" s="36" t="s">
        <v>23</v>
      </c>
      <c r="AV15" s="37">
        <f>AV12+(1.5*AV13)</f>
        <v>87.5</v>
      </c>
    </row>
    <row r="16" spans="1:48" x14ac:dyDescent="0.35">
      <c r="A16" s="37">
        <v>45</v>
      </c>
      <c r="C16" s="36" t="s">
        <v>7</v>
      </c>
      <c r="D16" s="37">
        <f t="array" ref="D16">AVERAGE(A5:A23)</f>
        <v>32.368421052631582</v>
      </c>
      <c r="P16" s="37">
        <v>7</v>
      </c>
      <c r="AE16" s="37">
        <v>23</v>
      </c>
      <c r="AS16" s="37">
        <v>20</v>
      </c>
    </row>
    <row r="17" spans="1:45" x14ac:dyDescent="0.35">
      <c r="A17" s="37">
        <v>23</v>
      </c>
      <c r="C17" s="36" t="s">
        <v>6</v>
      </c>
      <c r="D17" s="37">
        <f t="array" ref="D17">D14-D12</f>
        <v>44</v>
      </c>
      <c r="P17" s="37">
        <v>9</v>
      </c>
      <c r="AE17" s="37">
        <v>24</v>
      </c>
      <c r="AS17" s="37">
        <v>41</v>
      </c>
    </row>
    <row r="18" spans="1:45" x14ac:dyDescent="0.35">
      <c r="A18" s="37">
        <v>25</v>
      </c>
      <c r="C18" s="36" t="s">
        <v>5</v>
      </c>
      <c r="D18" s="37">
        <f>D12-(1.5*D17)</f>
        <v>-54</v>
      </c>
      <c r="P18" s="37">
        <v>10</v>
      </c>
      <c r="AE18" s="37">
        <v>25</v>
      </c>
      <c r="AS18" s="37">
        <v>20</v>
      </c>
    </row>
    <row r="19" spans="1:45" x14ac:dyDescent="0.35">
      <c r="A19" s="37">
        <v>57</v>
      </c>
      <c r="C19" s="36" t="s">
        <v>4</v>
      </c>
      <c r="D19" s="37">
        <f t="array" ref="D19">D14+(1.5*D17)</f>
        <v>122</v>
      </c>
      <c r="P19" s="37">
        <v>10</v>
      </c>
      <c r="AE19" s="37">
        <v>25</v>
      </c>
      <c r="AS19" s="37">
        <v>9</v>
      </c>
    </row>
    <row r="20" spans="1:45" x14ac:dyDescent="0.35">
      <c r="A20" s="37">
        <v>12</v>
      </c>
      <c r="P20" s="37">
        <v>11</v>
      </c>
      <c r="AE20" s="37">
        <v>26</v>
      </c>
      <c r="AS20" s="37">
        <v>12</v>
      </c>
    </row>
    <row r="21" spans="1:45" x14ac:dyDescent="0.35">
      <c r="A21" s="37">
        <v>56</v>
      </c>
      <c r="P21" s="37">
        <v>11</v>
      </c>
      <c r="AE21" s="37">
        <v>26</v>
      </c>
      <c r="AS21" s="37">
        <v>41</v>
      </c>
    </row>
    <row r="22" spans="1:45" x14ac:dyDescent="0.35">
      <c r="A22" s="37">
        <v>2</v>
      </c>
      <c r="P22" s="37">
        <v>12</v>
      </c>
      <c r="AE22" s="37">
        <v>28</v>
      </c>
      <c r="AS22" s="37">
        <v>64</v>
      </c>
    </row>
    <row r="23" spans="1:45" x14ac:dyDescent="0.35">
      <c r="A23" s="37">
        <v>60</v>
      </c>
      <c r="P23" s="37">
        <v>13</v>
      </c>
      <c r="AE23" s="37">
        <v>30</v>
      </c>
    </row>
    <row r="24" spans="1:45" x14ac:dyDescent="0.35">
      <c r="P24" s="37">
        <v>13</v>
      </c>
      <c r="AE24" s="37">
        <v>31</v>
      </c>
    </row>
    <row r="25" spans="1:45" x14ac:dyDescent="0.35">
      <c r="C25" s="3"/>
      <c r="P25" s="37">
        <v>15</v>
      </c>
      <c r="AE25" s="37">
        <v>31</v>
      </c>
    </row>
    <row r="26" spans="1:45" x14ac:dyDescent="0.35">
      <c r="P26" s="37">
        <v>15</v>
      </c>
      <c r="AE26" s="37">
        <v>32</v>
      </c>
    </row>
    <row r="27" spans="1:45" x14ac:dyDescent="0.35">
      <c r="P27" s="37">
        <v>18</v>
      </c>
      <c r="AE27" s="37">
        <v>33</v>
      </c>
    </row>
    <row r="28" spans="1:45" x14ac:dyDescent="0.35">
      <c r="P28" s="37">
        <v>19</v>
      </c>
      <c r="AE28" s="37">
        <v>33</v>
      </c>
    </row>
    <row r="29" spans="1:45" x14ac:dyDescent="0.35">
      <c r="P29" s="37">
        <v>21</v>
      </c>
      <c r="AE29" s="37">
        <v>33</v>
      </c>
    </row>
    <row r="30" spans="1:45" x14ac:dyDescent="0.35">
      <c r="P30" s="37">
        <v>23</v>
      </c>
      <c r="AE30" s="37">
        <v>34</v>
      </c>
    </row>
    <row r="31" spans="1:45" x14ac:dyDescent="0.35">
      <c r="C31" s="3"/>
      <c r="P31" s="37">
        <v>23</v>
      </c>
      <c r="AE31" s="37">
        <v>34</v>
      </c>
    </row>
    <row r="32" spans="1:45" x14ac:dyDescent="0.35">
      <c r="P32" s="37">
        <v>23</v>
      </c>
      <c r="AE32" s="37">
        <v>34</v>
      </c>
    </row>
    <row r="33" spans="14:31" x14ac:dyDescent="0.35">
      <c r="P33" s="37">
        <v>24</v>
      </c>
      <c r="AE33" s="37">
        <v>34</v>
      </c>
    </row>
    <row r="34" spans="14:31" x14ac:dyDescent="0.35">
      <c r="P34" s="37">
        <v>24</v>
      </c>
      <c r="AE34" s="37">
        <v>35</v>
      </c>
    </row>
    <row r="35" spans="14:31" x14ac:dyDescent="0.35">
      <c r="P35" s="37">
        <v>25</v>
      </c>
      <c r="AE35" s="37">
        <v>36</v>
      </c>
    </row>
    <row r="36" spans="14:31" x14ac:dyDescent="0.35">
      <c r="P36" s="37">
        <v>29</v>
      </c>
      <c r="AE36" s="37">
        <v>37</v>
      </c>
    </row>
    <row r="37" spans="14:31" x14ac:dyDescent="0.35">
      <c r="P37" s="37">
        <v>30</v>
      </c>
      <c r="AE37" s="37">
        <v>37</v>
      </c>
    </row>
    <row r="38" spans="14:31" x14ac:dyDescent="0.35">
      <c r="P38" s="37">
        <v>31</v>
      </c>
      <c r="AE38" s="37">
        <v>37</v>
      </c>
    </row>
    <row r="39" spans="14:31" x14ac:dyDescent="0.35">
      <c r="P39" s="37">
        <v>31</v>
      </c>
      <c r="AE39" s="37">
        <v>38</v>
      </c>
    </row>
    <row r="40" spans="14:31" x14ac:dyDescent="0.35">
      <c r="P40" s="37">
        <v>32</v>
      </c>
      <c r="AE40" s="37">
        <v>38</v>
      </c>
    </row>
    <row r="41" spans="14:31" x14ac:dyDescent="0.35">
      <c r="P41" s="37">
        <v>34</v>
      </c>
      <c r="AE41" s="37">
        <v>39</v>
      </c>
    </row>
    <row r="42" spans="14:31" x14ac:dyDescent="0.35">
      <c r="P42" s="37">
        <v>35</v>
      </c>
    </row>
    <row r="43" spans="14:31" x14ac:dyDescent="0.35">
      <c r="N43" s="3"/>
      <c r="P43" s="37">
        <v>35</v>
      </c>
    </row>
    <row r="44" spans="14:31" x14ac:dyDescent="0.35">
      <c r="P44" s="37">
        <v>37</v>
      </c>
    </row>
    <row r="45" spans="14:31" x14ac:dyDescent="0.35">
      <c r="P45" s="37">
        <v>40</v>
      </c>
    </row>
    <row r="47" spans="14:31" ht="61.5" x14ac:dyDescent="1.35">
      <c r="O47" s="54" t="s">
        <v>38</v>
      </c>
    </row>
    <row r="50" spans="1:32" x14ac:dyDescent="0.35">
      <c r="J50" s="3" t="s">
        <v>43</v>
      </c>
      <c r="S50" s="3" t="s">
        <v>48</v>
      </c>
    </row>
    <row r="51" spans="1:32" x14ac:dyDescent="0.35">
      <c r="A51" s="3" t="s">
        <v>39</v>
      </c>
    </row>
    <row r="52" spans="1:32" x14ac:dyDescent="0.35">
      <c r="J52" s="3" t="s">
        <v>44</v>
      </c>
      <c r="AE52" s="3" t="s">
        <v>52</v>
      </c>
    </row>
    <row r="53" spans="1:32" x14ac:dyDescent="0.35">
      <c r="A53" s="3" t="s">
        <v>40</v>
      </c>
      <c r="S53" s="3" t="s">
        <v>51</v>
      </c>
    </row>
    <row r="54" spans="1:32" x14ac:dyDescent="0.35">
      <c r="A54" s="36" t="s">
        <v>41</v>
      </c>
      <c r="B54" s="36" t="s">
        <v>42</v>
      </c>
      <c r="J54" s="36" t="s">
        <v>45</v>
      </c>
      <c r="K54" s="36" t="s">
        <v>47</v>
      </c>
      <c r="L54" s="36" t="s">
        <v>46</v>
      </c>
      <c r="AE54" s="3" t="s">
        <v>53</v>
      </c>
    </row>
    <row r="55" spans="1:32" x14ac:dyDescent="0.35">
      <c r="A55" s="37">
        <v>78</v>
      </c>
      <c r="B55" s="37">
        <v>88</v>
      </c>
      <c r="J55" s="37">
        <v>680</v>
      </c>
      <c r="K55" s="37">
        <v>0</v>
      </c>
      <c r="L55" s="37">
        <v>730</v>
      </c>
    </row>
    <row r="56" spans="1:32" x14ac:dyDescent="0.35">
      <c r="A56" s="37">
        <v>85</v>
      </c>
      <c r="B56" s="37">
        <v>96</v>
      </c>
      <c r="J56" s="37">
        <v>125</v>
      </c>
      <c r="K56" s="37">
        <v>712.5</v>
      </c>
      <c r="L56" s="37">
        <v>305</v>
      </c>
      <c r="S56" s="36" t="s">
        <v>49</v>
      </c>
      <c r="T56" s="36" t="s">
        <v>50</v>
      </c>
      <c r="U56" s="36" t="s">
        <v>57</v>
      </c>
      <c r="AE56" s="36" t="s">
        <v>54</v>
      </c>
      <c r="AF56" s="36" t="s">
        <v>55</v>
      </c>
    </row>
    <row r="57" spans="1:32" x14ac:dyDescent="0.35">
      <c r="A57" s="37">
        <v>68</v>
      </c>
      <c r="B57" s="37">
        <v>52</v>
      </c>
      <c r="J57" s="37">
        <v>220</v>
      </c>
      <c r="K57" s="37">
        <v>292.5</v>
      </c>
      <c r="L57" s="37">
        <v>170</v>
      </c>
      <c r="S57" s="37">
        <v>542</v>
      </c>
      <c r="T57" s="37">
        <v>124</v>
      </c>
      <c r="U57" s="37">
        <v>256</v>
      </c>
      <c r="AE57" s="37">
        <v>56</v>
      </c>
      <c r="AF57" s="37">
        <v>54</v>
      </c>
    </row>
    <row r="58" spans="1:32" x14ac:dyDescent="0.35">
      <c r="A58" s="37">
        <v>73</v>
      </c>
      <c r="B58" s="37">
        <v>65</v>
      </c>
      <c r="J58" s="37">
        <v>562.5</v>
      </c>
      <c r="K58" s="37">
        <v>160</v>
      </c>
      <c r="L58" s="37">
        <v>425.5</v>
      </c>
      <c r="S58" s="37">
        <v>125</v>
      </c>
      <c r="T58" s="37">
        <v>544</v>
      </c>
      <c r="U58" s="37">
        <v>470</v>
      </c>
      <c r="AE58" s="37">
        <v>85</v>
      </c>
      <c r="AF58" s="37">
        <v>65</v>
      </c>
    </row>
    <row r="59" spans="1:32" x14ac:dyDescent="0.35">
      <c r="A59" s="37">
        <v>58</v>
      </c>
      <c r="B59" s="37">
        <v>72</v>
      </c>
      <c r="J59" s="37">
        <v>1084</v>
      </c>
      <c r="K59" s="37">
        <v>985</v>
      </c>
      <c r="L59" s="37">
        <v>417.5</v>
      </c>
      <c r="S59" s="37">
        <v>111</v>
      </c>
      <c r="T59" s="37">
        <v>855</v>
      </c>
      <c r="U59" s="37">
        <v>200</v>
      </c>
      <c r="AE59" s="37">
        <v>47</v>
      </c>
      <c r="AF59" s="37">
        <v>49</v>
      </c>
    </row>
    <row r="60" spans="1:32" x14ac:dyDescent="0.35">
      <c r="A60" s="37">
        <v>93</v>
      </c>
      <c r="B60" s="37">
        <v>34</v>
      </c>
      <c r="S60" s="37">
        <v>478</v>
      </c>
      <c r="T60" s="37">
        <v>478</v>
      </c>
      <c r="U60" s="37">
        <v>100</v>
      </c>
      <c r="AE60" s="37">
        <v>12</v>
      </c>
      <c r="AF60" s="37">
        <v>54</v>
      </c>
    </row>
    <row r="61" spans="1:32" x14ac:dyDescent="0.35">
      <c r="A61" s="37">
        <v>46</v>
      </c>
      <c r="B61" s="37">
        <v>85</v>
      </c>
      <c r="S61" s="37">
        <v>655</v>
      </c>
      <c r="T61" s="37">
        <v>144</v>
      </c>
      <c r="U61" s="37">
        <v>350</v>
      </c>
      <c r="AE61" s="37">
        <v>74</v>
      </c>
      <c r="AF61" s="37">
        <v>42</v>
      </c>
    </row>
    <row r="62" spans="1:32" x14ac:dyDescent="0.35">
      <c r="A62" s="37">
        <v>17</v>
      </c>
      <c r="B62" s="37">
        <v>65</v>
      </c>
      <c r="AE62" s="37">
        <v>89</v>
      </c>
      <c r="AF62" s="37">
        <v>32</v>
      </c>
    </row>
    <row r="63" spans="1:32" x14ac:dyDescent="0.35">
      <c r="A63" s="37">
        <v>40</v>
      </c>
      <c r="B63" s="37">
        <v>91</v>
      </c>
      <c r="AE63" s="37">
        <v>23</v>
      </c>
      <c r="AF63" s="37">
        <v>24</v>
      </c>
    </row>
    <row r="64" spans="1:32" x14ac:dyDescent="0.35">
      <c r="A64" s="37">
        <v>84</v>
      </c>
      <c r="B64" s="37">
        <v>23</v>
      </c>
      <c r="AE64" s="37">
        <v>15</v>
      </c>
      <c r="AF64" s="37">
        <v>12</v>
      </c>
    </row>
    <row r="65" spans="1:32" x14ac:dyDescent="0.35">
      <c r="A65" s="37">
        <v>25</v>
      </c>
      <c r="B65" s="37">
        <v>12</v>
      </c>
      <c r="AE65" s="37">
        <v>10</v>
      </c>
      <c r="AF65" s="37">
        <v>6</v>
      </c>
    </row>
    <row r="66" spans="1:32" x14ac:dyDescent="0.35">
      <c r="AE66" s="37">
        <v>5</v>
      </c>
      <c r="AF66" s="37">
        <v>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STEM AND LEAF PLOT </vt:lpstr>
      <vt:lpstr>DOT PLOT</vt:lpstr>
      <vt:lpstr>BOX PLOT( BOX AND WHISKER PLOT)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 Khan</dc:creator>
  <cp:lastModifiedBy>Ibrahim Khan</cp:lastModifiedBy>
  <dcterms:created xsi:type="dcterms:W3CDTF">2025-09-30T17:05:27Z</dcterms:created>
  <dcterms:modified xsi:type="dcterms:W3CDTF">2025-11-27T06:08:43Z</dcterms:modified>
</cp:coreProperties>
</file>