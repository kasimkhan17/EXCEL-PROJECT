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556D3909-5CC3-47CF-81C1-93B5BA4794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44" i="1"/>
  <c r="D43" i="1"/>
  <c r="D42" i="1"/>
  <c r="J125" i="1"/>
  <c r="J126" i="1"/>
  <c r="J127" i="1"/>
  <c r="J128" i="1"/>
  <c r="J129" i="1"/>
  <c r="J130" i="1"/>
  <c r="D121" i="1"/>
  <c r="D120" i="1"/>
  <c r="D119" i="1"/>
  <c r="D118" i="1"/>
  <c r="D86" i="1"/>
  <c r="D85" i="1"/>
  <c r="D84" i="1"/>
  <c r="D83" i="1"/>
  <c r="I86" i="1" s="1"/>
  <c r="J86" i="1" s="1"/>
  <c r="J47" i="1"/>
  <c r="J48" i="1"/>
  <c r="J49" i="1"/>
  <c r="J50" i="1"/>
  <c r="J51" i="1"/>
  <c r="D8" i="1"/>
  <c r="I117" i="1" l="1"/>
  <c r="J117" i="1" s="1"/>
  <c r="I89" i="1"/>
  <c r="J89" i="1" s="1"/>
  <c r="H48" i="1"/>
  <c r="H90" i="1"/>
  <c r="I85" i="1"/>
  <c r="J85" i="1" s="1"/>
  <c r="H86" i="1"/>
  <c r="I82" i="1"/>
  <c r="J82" i="1" s="1"/>
  <c r="H119" i="1"/>
  <c r="I129" i="1"/>
  <c r="I125" i="1"/>
  <c r="I121" i="1"/>
  <c r="J121" i="1" s="1"/>
  <c r="H82" i="1"/>
  <c r="H89" i="1"/>
  <c r="H85" i="1"/>
  <c r="I92" i="1"/>
  <c r="J92" i="1" s="1"/>
  <c r="I88" i="1"/>
  <c r="J88" i="1" s="1"/>
  <c r="I84" i="1"/>
  <c r="J84" i="1" s="1"/>
  <c r="I128" i="1"/>
  <c r="I124" i="1"/>
  <c r="J124" i="1" s="1"/>
  <c r="I120" i="1"/>
  <c r="J120" i="1" s="1"/>
  <c r="H128" i="1"/>
  <c r="H124" i="1"/>
  <c r="H120" i="1"/>
  <c r="I41" i="1"/>
  <c r="J41" i="1" s="1"/>
  <c r="H92" i="1"/>
  <c r="H88" i="1"/>
  <c r="H84" i="1"/>
  <c r="I91" i="1"/>
  <c r="J91" i="1" s="1"/>
  <c r="I87" i="1"/>
  <c r="J87" i="1" s="1"/>
  <c r="I83" i="1"/>
  <c r="J83" i="1" s="1"/>
  <c r="I127" i="1"/>
  <c r="I123" i="1"/>
  <c r="J123" i="1" s="1"/>
  <c r="I119" i="1"/>
  <c r="J119" i="1" s="1"/>
  <c r="H117" i="1"/>
  <c r="H127" i="1"/>
  <c r="H123" i="1"/>
  <c r="H47" i="1"/>
  <c r="H91" i="1"/>
  <c r="H87" i="1"/>
  <c r="H83" i="1"/>
  <c r="I90" i="1"/>
  <c r="J90" i="1" s="1"/>
  <c r="I130" i="1"/>
  <c r="I126" i="1"/>
  <c r="I122" i="1"/>
  <c r="J122" i="1" s="1"/>
  <c r="I118" i="1"/>
  <c r="J118" i="1" s="1"/>
  <c r="H130" i="1"/>
  <c r="H126" i="1"/>
  <c r="H122" i="1"/>
  <c r="H118" i="1"/>
  <c r="H129" i="1"/>
  <c r="H125" i="1"/>
  <c r="H121" i="1"/>
  <c r="H49" i="1"/>
  <c r="H46" i="1"/>
  <c r="H45" i="1"/>
  <c r="H44" i="1"/>
  <c r="H43" i="1"/>
  <c r="H42" i="1"/>
  <c r="I51" i="1"/>
  <c r="I50" i="1"/>
  <c r="I49" i="1"/>
  <c r="I48" i="1"/>
  <c r="I47" i="1"/>
  <c r="I46" i="1"/>
  <c r="J46" i="1" s="1"/>
  <c r="I45" i="1"/>
  <c r="J45" i="1" s="1"/>
  <c r="I44" i="1"/>
  <c r="J44" i="1" s="1"/>
  <c r="I43" i="1"/>
  <c r="J43" i="1" s="1"/>
  <c r="I42" i="1"/>
  <c r="J42" i="1" s="1"/>
  <c r="H51" i="1"/>
  <c r="H41" i="1"/>
  <c r="H50" i="1"/>
  <c r="I17" i="1"/>
  <c r="I18" i="1"/>
  <c r="I19" i="1"/>
  <c r="I20" i="1"/>
  <c r="I21" i="1"/>
  <c r="I22" i="1"/>
  <c r="I23" i="1"/>
  <c r="I24" i="1"/>
  <c r="I25" i="1"/>
  <c r="I26" i="1"/>
  <c r="D10" i="1"/>
  <c r="D9" i="1"/>
  <c r="D7" i="1"/>
  <c r="H20" i="1" l="1"/>
  <c r="J6" i="1"/>
  <c r="I6" i="1" s="1"/>
  <c r="J10" i="1"/>
  <c r="J14" i="1"/>
  <c r="J18" i="1"/>
  <c r="J22" i="1"/>
  <c r="J26" i="1"/>
  <c r="J13" i="1"/>
  <c r="J25" i="1"/>
  <c r="J7" i="1"/>
  <c r="I7" i="1" s="1"/>
  <c r="J11" i="1"/>
  <c r="J15" i="1"/>
  <c r="J19" i="1"/>
  <c r="J23" i="1"/>
  <c r="J8" i="1"/>
  <c r="J12" i="1"/>
  <c r="I12" i="1" s="1"/>
  <c r="J16" i="1"/>
  <c r="J20" i="1"/>
  <c r="J24" i="1"/>
  <c r="J9" i="1"/>
  <c r="I9" i="1" s="1"/>
  <c r="J17" i="1"/>
  <c r="J21" i="1"/>
  <c r="I10" i="1"/>
  <c r="I15" i="1"/>
  <c r="I16" i="1"/>
  <c r="H16" i="1"/>
  <c r="H17" i="1"/>
  <c r="H6" i="1"/>
  <c r="H19" i="1"/>
  <c r="H15" i="1"/>
  <c r="I14" i="1"/>
  <c r="H18" i="1"/>
  <c r="H14" i="1"/>
  <c r="H13" i="1"/>
  <c r="I13" i="1"/>
  <c r="H12" i="1"/>
  <c r="H11" i="1"/>
  <c r="I11" i="1"/>
  <c r="H10" i="1"/>
  <c r="H9" i="1"/>
  <c r="H8" i="1"/>
  <c r="I8" i="1"/>
  <c r="H7" i="1"/>
  <c r="H26" i="1"/>
  <c r="H25" i="1"/>
  <c r="H24" i="1"/>
  <c r="H23" i="1"/>
  <c r="H22" i="1"/>
  <c r="H21" i="1"/>
</calcChain>
</file>

<file path=xl/sharedStrings.xml><?xml version="1.0" encoding="utf-8"?>
<sst xmlns="http://schemas.openxmlformats.org/spreadsheetml/2006/main" count="42" uniqueCount="15">
  <si>
    <t>FITTING OF NORMAL DISTRIBUTION</t>
  </si>
  <si>
    <t xml:space="preserve">EXAMPLE -1 </t>
  </si>
  <si>
    <t xml:space="preserve">MARKS </t>
  </si>
  <si>
    <t xml:space="preserve">MEAN </t>
  </si>
  <si>
    <t xml:space="preserve">STANDAR DEVIATION </t>
  </si>
  <si>
    <t xml:space="preserve">MIN </t>
  </si>
  <si>
    <t>MAX</t>
  </si>
  <si>
    <t xml:space="preserve">GRADE </t>
  </si>
  <si>
    <t xml:space="preserve">PROBABILITY DENSITY FUNCTION </t>
  </si>
  <si>
    <t xml:space="preserve">CUMMULATIVE DENSITY FUNCTION </t>
  </si>
  <si>
    <t>CUMMULATIVE DENSITY</t>
  </si>
  <si>
    <t xml:space="preserve">EXAMPLE -2 </t>
  </si>
  <si>
    <t>EXAMPLE -3</t>
  </si>
  <si>
    <t>EXAMPLE -4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</si>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</sst>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2" fontId="1" fillId="0" borderId="0" xfId="0" applyNumberFormat="1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Sheet1!$H$5</c:f>
              <c:strCache>
                <c:ptCount val="1"/>
                <c:pt idx="0">
                  <c:v>PROBABILITY DENSITY FUNCTION </c:v>
                </c:pt>
              </c:strCache>
            </c:strRef>
          </c:tx>
          <c:marker>
            <c:symbol val="none"/>
          </c:marker>
          <c:cat>
            <c:numRef>
              <c:f>Sheet1!$G$6:$G$26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Sheet1!$H$6:$H$26</c:f>
              <c:numCache>
                <c:formatCode>0.00</c:formatCode>
                <c:ptCount val="21"/>
                <c:pt idx="0">
                  <c:v>2.0236415331657174E-3</c:v>
                </c:pt>
                <c:pt idx="1">
                  <c:v>3.6955141434740512E-3</c:v>
                </c:pt>
                <c:pt idx="2">
                  <c:v>6.3390797817880372E-3</c:v>
                </c:pt>
                <c:pt idx="3">
                  <c:v>1.0213806623242535E-2</c:v>
                </c:pt>
                <c:pt idx="4">
                  <c:v>1.545820666072273E-2</c:v>
                </c:pt>
                <c:pt idx="5">
                  <c:v>2.1975595448154733E-2</c:v>
                </c:pt>
                <c:pt idx="6">
                  <c:v>2.9344874628597993E-2</c:v>
                </c:pt>
                <c:pt idx="7">
                  <c:v>3.6807297359700224E-2</c:v>
                </c:pt>
                <c:pt idx="8">
                  <c:v>4.3365630560383686E-2</c:v>
                </c:pt>
                <c:pt idx="9">
                  <c:v>4.7991847180084403E-2</c:v>
                </c:pt>
                <c:pt idx="10">
                  <c:v>4.9888371879741739E-2</c:v>
                </c:pt>
                <c:pt idx="11">
                  <c:v>4.8712594373408968E-2</c:v>
                </c:pt>
                <c:pt idx="12">
                  <c:v>4.4677951670002075E-2</c:v>
                </c:pt>
                <c:pt idx="13">
                  <c:v>3.8490655948032609E-2</c:v>
                </c:pt>
                <c:pt idx="14">
                  <c:v>3.1147804134690975E-2</c:v>
                </c:pt>
                <c:pt idx="15">
                  <c:v>2.3676070382904282E-2</c:v>
                </c:pt>
                <c:pt idx="16">
                  <c:v>1.6904482263886134E-2</c:v>
                </c:pt>
                <c:pt idx="17">
                  <c:v>1.1337157768487344E-2</c:v>
                </c:pt>
                <c:pt idx="18">
                  <c:v>7.1419461461235279E-3</c:v>
                </c:pt>
                <c:pt idx="19">
                  <c:v>4.226092672201788E-3</c:v>
                </c:pt>
                <c:pt idx="20">
                  <c:v>2.3489378497018902E-3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3-44B1-94D7-57E08B96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286016"/>
        <c:axId val="289287552"/>
      </c:lineChart>
      <c:catAx>
        <c:axId val="289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287552"/>
        <c:crosses val="autoZero"/>
        <c:auto val="1"/>
        <c:lblAlgn val="ctr"/>
        <c:lblOffset val="100"/>
        <c:noMultiLvlLbl val="0"/>
      </c:catAx>
      <c:valAx>
        <c:axId val="2892875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286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Sheet1!$J$5</c:f>
              <c:strCache>
                <c:ptCount val="1"/>
                <c:pt idx="0">
                  <c:v>CUMMULATIVE DENSITY FUNCTION </c:v>
                </c:pt>
              </c:strCache>
            </c:strRef>
          </c:tx>
          <c:marker>
            <c:symbol val="none"/>
          </c:marker>
          <c:cat>
            <c:numRef>
              <c:f>Sheet1!$G$6:$G$26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Sheet1!$J$6:$J$26</c:f>
              <c:numCache>
                <c:formatCode>0.00</c:formatCode>
                <c:ptCount val="21"/>
                <c:pt idx="0">
                  <c:v>5.6718432174079347E-3</c:v>
                </c:pt>
                <c:pt idx="1">
                  <c:v>1.1253082965023219E-2</c:v>
                </c:pt>
                <c:pt idx="2">
                  <c:v>2.1102103534343022E-2</c:v>
                </c:pt>
                <c:pt idx="3">
                  <c:v>3.7432811109233417E-2</c:v>
                </c:pt>
                <c:pt idx="4">
                  <c:v>6.2875733389504238E-2</c:v>
                </c:pt>
                <c:pt idx="5">
                  <c:v>0.10012171281628879</c:v>
                </c:pt>
                <c:pt idx="6">
                  <c:v>0.15135386020591093</c:v>
                </c:pt>
                <c:pt idx="7">
                  <c:v>0.2175689166732766</c:v>
                </c:pt>
                <c:pt idx="8">
                  <c:v>0.2979811654749932</c:v>
                </c:pt>
                <c:pt idx="9">
                  <c:v>0.38973814172540971</c:v>
                </c:pt>
                <c:pt idx="10">
                  <c:v>0.48811830246673682</c:v>
                </c:pt>
                <c:pt idx="11">
                  <c:v>0.58723060661324733</c:v>
                </c:pt>
                <c:pt idx="12">
                  <c:v>0.68105142881275604</c:v>
                </c:pt>
                <c:pt idx="13">
                  <c:v>0.76450068401170035</c:v>
                </c:pt>
                <c:pt idx="14">
                  <c:v>0.83424312758504549</c:v>
                </c:pt>
                <c:pt idx="15">
                  <c:v>0.88901065828431247</c:v>
                </c:pt>
                <c:pt idx="16">
                  <c:v>0.92942171930496709</c:v>
                </c:pt>
                <c:pt idx="17">
                  <c:v>0.95743914125789942</c:v>
                </c:pt>
                <c:pt idx="18">
                  <c:v>0.97569097866854082</c:v>
                </c:pt>
                <c:pt idx="19">
                  <c:v>0.98686308705283476</c:v>
                </c:pt>
                <c:pt idx="20">
                  <c:v>0.99328868266627179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6-4BCF-A232-CFEB6EB3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324032"/>
        <c:axId val="289329920"/>
      </c:lineChart>
      <c:catAx>
        <c:axId val="28932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329920"/>
        <c:crosses val="autoZero"/>
        <c:auto val="1"/>
        <c:lblAlgn val="ctr"/>
        <c:lblOffset val="100"/>
        <c:noMultiLvlLbl val="0"/>
      </c:catAx>
      <c:valAx>
        <c:axId val="2893299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32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CUMMULATIVE DENSITY</c:v>
                </c:pt>
              </c:strCache>
            </c:strRef>
          </c:tx>
          <c:marker>
            <c:symbol val="none"/>
          </c:marker>
          <c:cat>
            <c:numRef>
              <c:f>Sheet1!$G$6:$G$26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Sheet1!$I$6:$I$26</c:f>
              <c:numCache>
                <c:formatCode>0.00</c:formatCode>
                <c:ptCount val="21"/>
                <c:pt idx="0">
                  <c:v>5.6718432174079347E-3</c:v>
                </c:pt>
                <c:pt idx="1">
                  <c:v>1.1253082965023219E-2</c:v>
                </c:pt>
                <c:pt idx="2">
                  <c:v>2.1102103534343022E-2</c:v>
                </c:pt>
                <c:pt idx="3">
                  <c:v>3.7432811109233417E-2</c:v>
                </c:pt>
                <c:pt idx="4">
                  <c:v>6.2875733389504238E-2</c:v>
                </c:pt>
                <c:pt idx="5">
                  <c:v>0.10012171281628879</c:v>
                </c:pt>
                <c:pt idx="6">
                  <c:v>0.15135386020591093</c:v>
                </c:pt>
                <c:pt idx="7">
                  <c:v>0.2175689166732766</c:v>
                </c:pt>
                <c:pt idx="8">
                  <c:v>0.2979811654749932</c:v>
                </c:pt>
                <c:pt idx="9">
                  <c:v>0.38973814172540971</c:v>
                </c:pt>
                <c:pt idx="10">
                  <c:v>0.48811830246673682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1-411D-8227-3E6BE36B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12544"/>
        <c:axId val="289614080"/>
      </c:lineChart>
      <c:catAx>
        <c:axId val="28961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614080"/>
        <c:crosses val="autoZero"/>
        <c:auto val="1"/>
        <c:lblAlgn val="ctr"/>
        <c:lblOffset val="100"/>
        <c:noMultiLvlLbl val="0"/>
      </c:catAx>
      <c:valAx>
        <c:axId val="2896140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612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Sheet1!$H$40</c:f>
              <c:strCache>
                <c:ptCount val="1"/>
                <c:pt idx="0">
                  <c:v>PROBABILITY DENSITY FUNCTION </c:v>
                </c:pt>
              </c:strCache>
            </c:strRef>
          </c:tx>
          <c:marker>
            <c:symbol val="none"/>
          </c:marker>
          <c:cat>
            <c:numRef>
              <c:f>Sheet1!$G$41:$G$51</c:f>
              <c:numCache>
                <c:formatCode>General</c:formatCode>
                <c:ptCount val="11"/>
                <c:pt idx="0">
                  <c:v>50</c:v>
                </c:pt>
                <c:pt idx="1">
                  <c:v>56</c:v>
                </c:pt>
                <c:pt idx="2">
                  <c:v>60</c:v>
                </c:pt>
                <c:pt idx="3">
                  <c:v>64</c:v>
                </c:pt>
                <c:pt idx="4">
                  <c:v>68</c:v>
                </c:pt>
                <c:pt idx="5">
                  <c:v>72</c:v>
                </c:pt>
                <c:pt idx="6">
                  <c:v>76</c:v>
                </c:pt>
                <c:pt idx="7">
                  <c:v>80</c:v>
                </c:pt>
                <c:pt idx="8">
                  <c:v>84</c:v>
                </c:pt>
                <c:pt idx="9">
                  <c:v>88</c:v>
                </c:pt>
                <c:pt idx="10">
                  <c:v>92</c:v>
                </c:pt>
              </c:numCache>
            </c:numRef>
          </c:cat>
          <c:val>
            <c:numRef>
              <c:f>Sheet1!$H$41:$H$51</c:f>
              <c:numCache>
                <c:formatCode>0.00</c:formatCode>
                <c:ptCount val="11"/>
                <c:pt idx="0">
                  <c:v>6.8219412412648377E-3</c:v>
                </c:pt>
                <c:pt idx="1">
                  <c:v>1.5651689296725321E-2</c:v>
                </c:pt>
                <c:pt idx="2">
                  <c:v>2.3214608378381223E-2</c:v>
                </c:pt>
                <c:pt idx="3">
                  <c:v>3.0309112766276885E-2</c:v>
                </c:pt>
                <c:pt idx="4">
                  <c:v>3.4833475129909641E-2</c:v>
                </c:pt>
                <c:pt idx="5">
                  <c:v>3.5239691837208514E-2</c:v>
                </c:pt>
                <c:pt idx="6">
                  <c:v>3.1381891645037158E-2</c:v>
                </c:pt>
                <c:pt idx="7">
                  <c:v>2.4600155559790875E-2</c:v>
                </c:pt>
                <c:pt idx="8">
                  <c:v>1.6974942289998365E-2</c:v>
                </c:pt>
                <c:pt idx="9">
                  <c:v>1.0310755246160552E-2</c:v>
                </c:pt>
                <c:pt idx="10">
                  <c:v>5.5129539829961993E-3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1-4E3D-B980-6C34FFF7E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31616"/>
        <c:axId val="289641600"/>
      </c:lineChart>
      <c:catAx>
        <c:axId val="2896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641600"/>
        <c:crosses val="autoZero"/>
        <c:auto val="1"/>
        <c:lblAlgn val="ctr"/>
        <c:lblOffset val="100"/>
        <c:noMultiLvlLbl val="0"/>
      </c:catAx>
      <c:valAx>
        <c:axId val="289641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63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Sheet1!$I$40</c:f>
              <c:strCache>
                <c:ptCount val="1"/>
                <c:pt idx="0">
                  <c:v>CUMMULATIVE DENSITY FUNCTION </c:v>
                </c:pt>
              </c:strCache>
            </c:strRef>
          </c:tx>
          <c:marker>
            <c:symbol val="none"/>
          </c:marker>
          <c:cat>
            <c:numRef>
              <c:f>Sheet1!$G$41:$G$51</c:f>
              <c:numCache>
                <c:formatCode>General</c:formatCode>
                <c:ptCount val="11"/>
                <c:pt idx="0">
                  <c:v>50</c:v>
                </c:pt>
                <c:pt idx="1">
                  <c:v>56</c:v>
                </c:pt>
                <c:pt idx="2">
                  <c:v>60</c:v>
                </c:pt>
                <c:pt idx="3">
                  <c:v>64</c:v>
                </c:pt>
                <c:pt idx="4">
                  <c:v>68</c:v>
                </c:pt>
                <c:pt idx="5">
                  <c:v>72</c:v>
                </c:pt>
                <c:pt idx="6">
                  <c:v>76</c:v>
                </c:pt>
                <c:pt idx="7">
                  <c:v>80</c:v>
                </c:pt>
                <c:pt idx="8">
                  <c:v>84</c:v>
                </c:pt>
                <c:pt idx="9">
                  <c:v>88</c:v>
                </c:pt>
                <c:pt idx="10">
                  <c:v>92</c:v>
                </c:pt>
              </c:numCache>
            </c:numRef>
          </c:cat>
          <c:val>
            <c:numRef>
              <c:f>Sheet1!$I$41:$I$51</c:f>
              <c:numCache>
                <c:formatCode>0.00</c:formatCode>
                <c:ptCount val="11"/>
                <c:pt idx="0">
                  <c:v>3.4526227232015219E-2</c:v>
                </c:pt>
                <c:pt idx="1">
                  <c:v>9.9852376943503615E-2</c:v>
                </c:pt>
                <c:pt idx="2">
                  <c:v>0.17741247156429885</c:v>
                </c:pt>
                <c:pt idx="3">
                  <c:v>0.28496694007777812</c:v>
                </c:pt>
                <c:pt idx="4">
                  <c:v>0.41643320808639761</c:v>
                </c:pt>
                <c:pt idx="5">
                  <c:v>0.55807697142674373</c:v>
                </c:pt>
                <c:pt idx="6">
                  <c:v>0.69259434648168727</c:v>
                </c:pt>
                <c:pt idx="7">
                  <c:v>0.80519910121027505</c:v>
                </c:pt>
                <c:pt idx="8">
                  <c:v>0.88828573492175733</c:v>
                </c:pt>
                <c:pt idx="9">
                  <c:v>0.9423237550132928</c:v>
                </c:pt>
                <c:pt idx="10">
                  <c:v>0.97330210977868448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4-4A94-99C4-E54448A97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744000"/>
        <c:axId val="289745536"/>
      </c:lineChart>
      <c:catAx>
        <c:axId val="28974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745536"/>
        <c:crosses val="autoZero"/>
        <c:auto val="1"/>
        <c:lblAlgn val="ctr"/>
        <c:lblOffset val="100"/>
        <c:noMultiLvlLbl val="0"/>
      </c:catAx>
      <c:valAx>
        <c:axId val="289745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74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Sheet1!$J$40</c:f>
              <c:strCache>
                <c:ptCount val="1"/>
                <c:pt idx="0">
                  <c:v>CUMMULATIVE DENSITY</c:v>
                </c:pt>
              </c:strCache>
            </c:strRef>
          </c:tx>
          <c:marker>
            <c:symbol val="none"/>
          </c:marker>
          <c:cat>
            <c:numRef>
              <c:f>Sheet1!$G$41:$G$51</c:f>
              <c:numCache>
                <c:formatCode>General</c:formatCode>
                <c:ptCount val="11"/>
                <c:pt idx="0">
                  <c:v>50</c:v>
                </c:pt>
                <c:pt idx="1">
                  <c:v>56</c:v>
                </c:pt>
                <c:pt idx="2">
                  <c:v>60</c:v>
                </c:pt>
                <c:pt idx="3">
                  <c:v>64</c:v>
                </c:pt>
                <c:pt idx="4">
                  <c:v>68</c:v>
                </c:pt>
                <c:pt idx="5">
                  <c:v>72</c:v>
                </c:pt>
                <c:pt idx="6">
                  <c:v>76</c:v>
                </c:pt>
                <c:pt idx="7">
                  <c:v>80</c:v>
                </c:pt>
                <c:pt idx="8">
                  <c:v>84</c:v>
                </c:pt>
                <c:pt idx="9">
                  <c:v>88</c:v>
                </c:pt>
                <c:pt idx="10">
                  <c:v>92</c:v>
                </c:pt>
              </c:numCache>
            </c:numRef>
          </c:cat>
          <c:val>
            <c:numRef>
              <c:f>Sheet1!$J$41:$J$51</c:f>
              <c:numCache>
                <c:formatCode>0.00</c:formatCode>
                <c:ptCount val="11"/>
                <c:pt idx="0">
                  <c:v>3.4526227232015219E-2</c:v>
                </c:pt>
                <c:pt idx="1">
                  <c:v>9.9852376943503615E-2</c:v>
                </c:pt>
                <c:pt idx="2">
                  <c:v>0.17741247156429885</c:v>
                </c:pt>
                <c:pt idx="3">
                  <c:v>0.28496694007777812</c:v>
                </c:pt>
                <c:pt idx="4">
                  <c:v>0.41643320808639761</c:v>
                </c:pt>
                <c:pt idx="5">
                  <c:v>0.55807697142674373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2-4CC1-A6A2-E671D9A16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762304"/>
        <c:axId val="289772288"/>
      </c:lineChart>
      <c:catAx>
        <c:axId val="28976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772288"/>
        <c:crosses val="autoZero"/>
        <c:auto val="1"/>
        <c:lblAlgn val="ctr"/>
        <c:lblOffset val="100"/>
        <c:noMultiLvlLbl val="0"/>
      </c:catAx>
      <c:valAx>
        <c:axId val="289772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762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Sheet1!$H$81</c:f>
              <c:strCache>
                <c:ptCount val="1"/>
                <c:pt idx="0">
                  <c:v>PROBABILITY DENSITY FUNCTION </c:v>
                </c:pt>
              </c:strCache>
            </c:strRef>
          </c:tx>
          <c:marker>
            <c:symbol val="none"/>
          </c:marker>
          <c:cat>
            <c:numRef>
              <c:f>Sheet1!$G$82:$G$92</c:f>
              <c:numCache>
                <c:formatCode>General</c:formatCode>
                <c:ptCount val="11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</c:numCache>
            </c:numRef>
          </c:cat>
          <c:val>
            <c:numRef>
              <c:f>Sheet1!$H$82:$H$92</c:f>
              <c:numCache>
                <c:formatCode>0.00</c:formatCode>
                <c:ptCount val="11"/>
                <c:pt idx="0">
                  <c:v>5.8545030185113665E-3</c:v>
                </c:pt>
                <c:pt idx="1">
                  <c:v>1.0783385461833168E-2</c:v>
                </c:pt>
                <c:pt idx="2">
                  <c:v>1.7231800903073212E-2</c:v>
                </c:pt>
                <c:pt idx="3">
                  <c:v>2.3890027486823354E-2</c:v>
                </c:pt>
                <c:pt idx="4">
                  <c:v>2.8735123872373307E-2</c:v>
                </c:pt>
                <c:pt idx="5">
                  <c:v>2.9986096947736435E-2</c:v>
                </c:pt>
                <c:pt idx="6">
                  <c:v>2.7147963136954393E-2</c:v>
                </c:pt>
                <c:pt idx="7">
                  <c:v>2.1323819797989283E-2</c:v>
                </c:pt>
                <c:pt idx="8">
                  <c:v>1.4531257530067095E-2</c:v>
                </c:pt>
                <c:pt idx="9">
                  <c:v>8.5911606146411926E-3</c:v>
                </c:pt>
                <c:pt idx="10">
                  <c:v>4.4066739687327197E-3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3-42AF-AE10-92E2A813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790976"/>
        <c:axId val="289800960"/>
      </c:lineChart>
      <c:catAx>
        <c:axId val="28979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800960"/>
        <c:crosses val="autoZero"/>
        <c:auto val="1"/>
        <c:lblAlgn val="ctr"/>
        <c:lblOffset val="100"/>
        <c:noMultiLvlLbl val="0"/>
      </c:catAx>
      <c:valAx>
        <c:axId val="2898009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79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Sheet1!$I$81</c:f>
              <c:strCache>
                <c:ptCount val="1"/>
                <c:pt idx="0">
                  <c:v>CUMMULATIVE DENSITY FUNCTION </c:v>
                </c:pt>
              </c:strCache>
            </c:strRef>
          </c:tx>
          <c:marker>
            <c:symbol val="none"/>
          </c:marker>
          <c:cat>
            <c:numRef>
              <c:f>Sheet1!$G$82:$G$92</c:f>
              <c:numCache>
                <c:formatCode>General</c:formatCode>
                <c:ptCount val="11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</c:numCache>
            </c:numRef>
          </c:cat>
          <c:val>
            <c:numRef>
              <c:f>Sheet1!$I$82:$I$92</c:f>
              <c:numCache>
                <c:formatCode>0.00</c:formatCode>
                <c:ptCount val="11"/>
                <c:pt idx="0">
                  <c:v>3.5220214636043995E-2</c:v>
                </c:pt>
                <c:pt idx="1">
                  <c:v>7.6046316240789877E-2</c:v>
                </c:pt>
                <c:pt idx="2">
                  <c:v>0.14564642380890636</c:v>
                </c:pt>
                <c:pt idx="3">
                  <c:v>0.2487588880649943</c:v>
                </c:pt>
                <c:pt idx="4">
                  <c:v>0.38151230027649746</c:v>
                </c:pt>
                <c:pt idx="5">
                  <c:v>0.5300429533866261</c:v>
                </c:pt>
                <c:pt idx="6">
                  <c:v>0.67446168296108278</c:v>
                </c:pt>
                <c:pt idx="7">
                  <c:v>0.79649198636431284</c:v>
                </c:pt>
                <c:pt idx="8">
                  <c:v>0.88610000300588554</c:v>
                </c:pt>
                <c:pt idx="9">
                  <c:v>0.94328180958190866</c:v>
                </c:pt>
                <c:pt idx="10">
                  <c:v>0.97499180225717719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5-464B-989C-6063454B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25536"/>
        <c:axId val="289827072"/>
      </c:lineChart>
      <c:catAx>
        <c:axId val="28982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827072"/>
        <c:crosses val="autoZero"/>
        <c:auto val="1"/>
        <c:lblAlgn val="ctr"/>
        <c:lblOffset val="100"/>
        <c:noMultiLvlLbl val="0"/>
      </c:catAx>
      <c:valAx>
        <c:axId val="2898270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825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Sheet1!$J$81</c:f>
              <c:strCache>
                <c:ptCount val="1"/>
                <c:pt idx="0">
                  <c:v>CUMMULATIVE DENSITY</c:v>
                </c:pt>
              </c:strCache>
            </c:strRef>
          </c:tx>
          <c:marker>
            <c:symbol val="none"/>
          </c:marker>
          <c:cat>
            <c:numRef>
              <c:f>Sheet1!$A$82:$A$92</c:f>
              <c:numCache>
                <c:formatCode>General</c:formatCode>
                <c:ptCount val="11"/>
                <c:pt idx="0">
                  <c:v>94</c:v>
                </c:pt>
                <c:pt idx="1">
                  <c:v>98</c:v>
                </c:pt>
                <c:pt idx="2">
                  <c:v>102</c:v>
                </c:pt>
                <c:pt idx="3">
                  <c:v>106</c:v>
                </c:pt>
                <c:pt idx="4">
                  <c:v>110</c:v>
                </c:pt>
                <c:pt idx="5">
                  <c:v>114</c:v>
                </c:pt>
                <c:pt idx="6">
                  <c:v>118</c:v>
                </c:pt>
                <c:pt idx="7">
                  <c:v>122</c:v>
                </c:pt>
                <c:pt idx="8">
                  <c:v>126</c:v>
                </c:pt>
                <c:pt idx="9">
                  <c:v>130</c:v>
                </c:pt>
                <c:pt idx="10">
                  <c:v>134</c:v>
                </c:pt>
              </c:numCache>
            </c:numRef>
          </c:cat>
          <c:val>
            <c:numRef>
              <c:f>Sheet1!$J$82:$J$92</c:f>
              <c:numCache>
                <c:formatCode>0.00</c:formatCode>
                <c:ptCount val="11"/>
                <c:pt idx="0">
                  <c:v>3.5220214636043995E-2</c:v>
                </c:pt>
                <c:pt idx="1">
                  <c:v>7.6046316240789877E-2</c:v>
                </c:pt>
                <c:pt idx="2">
                  <c:v>0.14564642380890636</c:v>
                </c:pt>
                <c:pt idx="3">
                  <c:v>0.2487588880649943</c:v>
                </c:pt>
                <c:pt idx="4">
                  <c:v>0.38151230027649746</c:v>
                </c:pt>
                <c:pt idx="5">
                  <c:v>0.5300429533866261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5-41B4-A111-A4A5DFEF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55360"/>
        <c:axId val="289856896"/>
      </c:lineChart>
      <c:catAx>
        <c:axId val="2898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856896"/>
        <c:crosses val="autoZero"/>
        <c:auto val="1"/>
        <c:lblAlgn val="ctr"/>
        <c:lblOffset val="100"/>
        <c:noMultiLvlLbl val="0"/>
      </c:catAx>
      <c:valAx>
        <c:axId val="2898568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855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Sheet1!$H$116</c:f>
              <c:strCache>
                <c:ptCount val="1"/>
                <c:pt idx="0">
                  <c:v>PROBABILITY DENSITY FUNCTION </c:v>
                </c:pt>
              </c:strCache>
            </c:strRef>
          </c:tx>
          <c:marker>
            <c:symbol val="none"/>
          </c:marker>
          <c:val>
            <c:numRef>
              <c:f>Sheet1!$H$117:$H$130</c:f>
              <c:numCache>
                <c:formatCode>0.00</c:formatCode>
                <c:ptCount val="14"/>
                <c:pt idx="0">
                  <c:v>3.5369014789829534E-3</c:v>
                </c:pt>
                <c:pt idx="1">
                  <c:v>6.5050680023274578E-3</c:v>
                </c:pt>
                <c:pt idx="2">
                  <c:v>1.0615591802119545E-2</c:v>
                </c:pt>
                <c:pt idx="3">
                  <c:v>1.5370927390413142E-2</c:v>
                </c:pt>
                <c:pt idx="4">
                  <c:v>1.9747831952414842E-2</c:v>
                </c:pt>
                <c:pt idx="5">
                  <c:v>2.2511387608111135E-2</c:v>
                </c:pt>
                <c:pt idx="6">
                  <c:v>2.2769243418992915E-2</c:v>
                </c:pt>
                <c:pt idx="7">
                  <c:v>2.0434236966110627E-2</c:v>
                </c:pt>
                <c:pt idx="8">
                  <c:v>1.6271655538230699E-2</c:v>
                </c:pt>
                <c:pt idx="9">
                  <c:v>1.1496576925744477E-2</c:v>
                </c:pt>
                <c:pt idx="10">
                  <c:v>7.2072377471558841E-3</c:v>
                </c:pt>
                <c:pt idx="11">
                  <c:v>4.0089684510579522E-3</c:v>
                </c:pt>
                <c:pt idx="12">
                  <c:v>1.9786087247146973E-3</c:v>
                </c:pt>
                <c:pt idx="13">
                  <c:v>8.6646433698033822E-4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0-40E1-BC9E-2E0E4B470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68800"/>
        <c:axId val="289882880"/>
      </c:lineChart>
      <c:catAx>
        <c:axId val="289868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882880"/>
        <c:crosses val="autoZero"/>
        <c:auto val="1"/>
        <c:lblAlgn val="ctr"/>
        <c:lblOffset val="100"/>
        <c:noMultiLvlLbl val="0"/>
      </c:catAx>
      <c:valAx>
        <c:axId val="2898828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868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Sheet1!$I$116</c:f>
              <c:strCache>
                <c:ptCount val="1"/>
                <c:pt idx="0">
                  <c:v>CUMMULATIVE DENSITY FUNCTION </c:v>
                </c:pt>
              </c:strCache>
            </c:strRef>
          </c:tx>
          <c:marker>
            <c:symbol val="none"/>
          </c:marker>
          <c:val>
            <c:numRef>
              <c:f>Sheet1!$I$117:$I$130</c:f>
              <c:numCache>
                <c:formatCode>0.00</c:formatCode>
                <c:ptCount val="14"/>
                <c:pt idx="0">
                  <c:v>2.6500117166047589E-2</c:v>
                </c:pt>
                <c:pt idx="1">
                  <c:v>5.6018491056053249E-2</c:v>
                </c:pt>
                <c:pt idx="2">
                  <c:v>0.10688079069875581</c:v>
                </c:pt>
                <c:pt idx="3">
                  <c:v>0.18473326716649049</c:v>
                </c:pt>
                <c:pt idx="4">
                  <c:v>0.29059142689470097</c:v>
                </c:pt>
                <c:pt idx="5">
                  <c:v>0.41845699103210798</c:v>
                </c:pt>
                <c:pt idx="6">
                  <c:v>0.55565928503992268</c:v>
                </c:pt>
                <c:pt idx="7">
                  <c:v>0.68644132162028759</c:v>
                </c:pt>
                <c:pt idx="8">
                  <c:v>0.79718360475103323</c:v>
                </c:pt>
                <c:pt idx="9">
                  <c:v>0.88048580616506611</c:v>
                </c:pt>
                <c:pt idx="10">
                  <c:v>0.93614992851863454</c:v>
                </c:pt>
                <c:pt idx="11">
                  <c:v>0.96919203130700693</c:v>
                </c:pt>
                <c:pt idx="12">
                  <c:v>0.98661532522117512</c:v>
                </c:pt>
                <c:pt idx="13">
                  <c:v>0.99477662435256542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0-4E22-A6DE-AA09DD14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903360"/>
        <c:axId val="289904896"/>
      </c:lineChart>
      <c:catAx>
        <c:axId val="289903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904896"/>
        <c:crosses val="autoZero"/>
        <c:auto val="1"/>
        <c:lblAlgn val="ctr"/>
        <c:lblOffset val="100"/>
        <c:noMultiLvlLbl val="0"/>
      </c:catAx>
      <c:valAx>
        <c:axId val="2899048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990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Sheet1!$J$116</c:f>
              <c:strCache>
                <c:ptCount val="1"/>
                <c:pt idx="0">
                  <c:v>CUMMULATIVE DENSITY</c:v>
                </c:pt>
              </c:strCache>
            </c:strRef>
          </c:tx>
          <c:marker>
            <c:symbol val="none"/>
          </c:marker>
          <c:val>
            <c:numRef>
              <c:f>Sheet1!$J$117:$J$130</c:f>
              <c:numCache>
                <c:formatCode>0.00</c:formatCode>
                <c:ptCount val="14"/>
                <c:pt idx="0">
                  <c:v>2.6500117166047589E-2</c:v>
                </c:pt>
                <c:pt idx="1">
                  <c:v>5.6018491056053249E-2</c:v>
                </c:pt>
                <c:pt idx="2">
                  <c:v>0.10688079069875581</c:v>
                </c:pt>
                <c:pt idx="3">
                  <c:v>0.18473326716649049</c:v>
                </c:pt>
                <c:pt idx="4">
                  <c:v>0.29059142689470097</c:v>
                </c:pt>
                <c:pt idx="5">
                  <c:v>0.41845699103210798</c:v>
                </c:pt>
                <c:pt idx="6">
                  <c:v>0.55565928503992268</c:v>
                </c:pt>
                <c:pt idx="7">
                  <c:v>0.68644132162028759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9-4661-B8DD-7C09EB821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011392"/>
        <c:axId val="290013184"/>
      </c:lineChart>
      <c:catAx>
        <c:axId val="290011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90013184"/>
        <c:crosses val="autoZero"/>
        <c:auto val="1"/>
        <c:lblAlgn val="ctr"/>
        <c:lblOffset val="100"/>
        <c:noMultiLvlLbl val="0"/>
      </c:catAx>
      <c:valAx>
        <c:axId val="290013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9001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5</xdr:row>
      <xdr:rowOff>66675</xdr:rowOff>
    </xdr:from>
    <xdr:to>
      <xdr:col>16</xdr:col>
      <xdr:colOff>485775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361950</xdr:colOff>
      <xdr:row>5</xdr:row>
      <xdr:rowOff>123825</xdr:rowOff>
    </xdr:from>
    <xdr:to>
      <xdr:col>26</xdr:col>
      <xdr:colOff>57150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1276350</xdr:colOff>
      <xdr:row>21</xdr:row>
      <xdr:rowOff>180975</xdr:rowOff>
    </xdr:from>
    <xdr:to>
      <xdr:col>21</xdr:col>
      <xdr:colOff>38100</xdr:colOff>
      <xdr:row>36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571500</xdr:colOff>
      <xdr:row>39</xdr:row>
      <xdr:rowOff>57150</xdr:rowOff>
    </xdr:from>
    <xdr:to>
      <xdr:col>16</xdr:col>
      <xdr:colOff>571500</xdr:colOff>
      <xdr:row>53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523875</xdr:colOff>
      <xdr:row>39</xdr:row>
      <xdr:rowOff>104775</xdr:rowOff>
    </xdr:from>
    <xdr:to>
      <xdr:col>26</xdr:col>
      <xdr:colOff>269875</xdr:colOff>
      <xdr:row>53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904875</xdr:colOff>
      <xdr:row>55</xdr:row>
      <xdr:rowOff>104775</xdr:rowOff>
    </xdr:from>
    <xdr:to>
      <xdr:col>20</xdr:col>
      <xdr:colOff>301625</xdr:colOff>
      <xdr:row>69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174625</xdr:colOff>
      <xdr:row>75</xdr:row>
      <xdr:rowOff>152400</xdr:rowOff>
    </xdr:from>
    <xdr:to>
      <xdr:col>17</xdr:col>
      <xdr:colOff>174625</xdr:colOff>
      <xdr:row>90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333375</xdr:colOff>
      <xdr:row>75</xdr:row>
      <xdr:rowOff>104775</xdr:rowOff>
    </xdr:from>
    <xdr:to>
      <xdr:col>26</xdr:col>
      <xdr:colOff>79375</xdr:colOff>
      <xdr:row>89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1698625</xdr:colOff>
      <xdr:row>91</xdr:row>
      <xdr:rowOff>152400</xdr:rowOff>
    </xdr:from>
    <xdr:to>
      <xdr:col>21</xdr:col>
      <xdr:colOff>492125</xdr:colOff>
      <xdr:row>106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222250</xdr:colOff>
      <xdr:row>114</xdr:row>
      <xdr:rowOff>184150</xdr:rowOff>
    </xdr:from>
    <xdr:to>
      <xdr:col>17</xdr:col>
      <xdr:colOff>222250</xdr:colOff>
      <xdr:row>129</xdr:row>
      <xdr:rowOff>69850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31750</xdr:colOff>
      <xdr:row>114</xdr:row>
      <xdr:rowOff>120650</xdr:rowOff>
    </xdr:from>
    <xdr:to>
      <xdr:col>26</xdr:col>
      <xdr:colOff>381000</xdr:colOff>
      <xdr:row>129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1301749</xdr:colOff>
      <xdr:row>133</xdr:row>
      <xdr:rowOff>47625</xdr:rowOff>
    </xdr:from>
    <xdr:to>
      <xdr:col>21</xdr:col>
      <xdr:colOff>111124</xdr:colOff>
      <xdr:row>148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H130" zoomScale="40" zoomScaleNormal="40" workbookViewId="0">
      <selection activeCell="X151" sqref="X151"/>
    </sheetView>
  </sheetViews>
  <sheetFormatPr defaultRowHeight="14.5" x14ac:dyDescent="0.35"/>
  <cols>
    <col min="1" max="1" width="17.54296875" customWidth="1"/>
    <col min="3" max="3" width="30.453125" customWidth="1"/>
    <col min="4" max="4" width="11.54296875" bestFit="1" customWidth="1"/>
    <col min="7" max="7" width="15.54296875" customWidth="1"/>
    <col min="8" max="8" width="43.81640625" customWidth="1"/>
    <col min="9" max="9" width="49.7265625" customWidth="1"/>
    <col min="10" max="10" width="46.36328125" customWidth="1"/>
    <col min="13" max="13" width="8.7265625" customWidth="1"/>
    <col min="15" max="15" width="74" customWidth="1"/>
  </cols>
  <sheetData>
    <row r="1" spans="1:15" ht="36" x14ac:dyDescent="0.8">
      <c r="O1" s="8" t="s">
        <v>0</v>
      </c>
    </row>
    <row r="3" spans="1:15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5" x14ac:dyDescent="0.35">
      <c r="A5" s="3" t="s">
        <v>2</v>
      </c>
      <c r="B5" s="2"/>
      <c r="C5" s="2"/>
      <c r="D5" s="2"/>
      <c r="E5" s="2"/>
      <c r="F5" s="2"/>
      <c r="G5" s="3" t="s">
        <v>7</v>
      </c>
      <c r="H5" s="3" t="s">
        <v>8</v>
      </c>
      <c r="I5" s="3" t="s">
        <v>10</v>
      </c>
      <c r="J5" s="3" t="s">
        <v>9</v>
      </c>
      <c r="K5" s="2"/>
    </row>
    <row r="6" spans="1:15" x14ac:dyDescent="0.35">
      <c r="A6" s="3">
        <v>89</v>
      </c>
      <c r="B6" s="2"/>
      <c r="C6" s="2"/>
      <c r="D6" s="2"/>
      <c r="E6" s="2"/>
      <c r="F6" s="2"/>
      <c r="G6" s="3">
        <v>60</v>
      </c>
      <c r="H6" s="4">
        <f>_xlfn.NORM.DIST(G6,$D$7,$D$8,FALSE)</f>
        <v>2.0236415331657174E-3</v>
      </c>
      <c r="I6" s="4">
        <f t="shared" ref="I6:I26" si="0">IF(G6&lt;=G16,J6,0)</f>
        <v>5.6718432174079347E-3</v>
      </c>
      <c r="J6" s="4">
        <f t="shared" ref="J6:J26" si="1">_xlfn.NORM.DIST(G6,$D$7,$D$8,TRUE)</f>
        <v>5.6718432174079347E-3</v>
      </c>
      <c r="K6" s="2"/>
    </row>
    <row r="7" spans="1:15" x14ac:dyDescent="0.35">
      <c r="A7" s="3">
        <v>94</v>
      </c>
      <c r="B7" s="2"/>
      <c r="C7" s="3" t="s">
        <v>3</v>
      </c>
      <c r="D7" s="5">
        <f>AVERAGE(A6:A27)</f>
        <v>80.238095238095241</v>
      </c>
      <c r="E7" s="2"/>
      <c r="F7" s="2"/>
      <c r="G7" s="3">
        <v>62</v>
      </c>
      <c r="H7" s="4">
        <f t="shared" ref="H7:H26" si="2">_xlfn.NORM.DIST(G7,$D$7,$D$8,FALSE)</f>
        <v>3.6955141434740512E-3</v>
      </c>
      <c r="I7" s="4">
        <f t="shared" si="0"/>
        <v>1.1253082965023219E-2</v>
      </c>
      <c r="J7" s="4">
        <f t="shared" si="1"/>
        <v>1.1253082965023219E-2</v>
      </c>
      <c r="K7" s="2"/>
    </row>
    <row r="8" spans="1:15" x14ac:dyDescent="0.35">
      <c r="A8" s="3">
        <v>78</v>
      </c>
      <c r="B8" s="2"/>
      <c r="C8" s="3" t="s">
        <v>4</v>
      </c>
      <c r="D8" s="6">
        <f>STDEV(A6:A27)</f>
        <v>7.9931518308159379</v>
      </c>
      <c r="E8" s="2"/>
      <c r="F8" s="2"/>
      <c r="G8" s="3">
        <v>64</v>
      </c>
      <c r="H8" s="4">
        <f t="shared" si="2"/>
        <v>6.3390797817880372E-3</v>
      </c>
      <c r="I8" s="4">
        <f t="shared" si="0"/>
        <v>2.1102103534343022E-2</v>
      </c>
      <c r="J8" s="4">
        <f t="shared" si="1"/>
        <v>2.1102103534343022E-2</v>
      </c>
      <c r="K8" s="2"/>
    </row>
    <row r="9" spans="1:15" x14ac:dyDescent="0.35">
      <c r="A9" s="3">
        <v>80</v>
      </c>
      <c r="B9" s="2"/>
      <c r="C9" s="3" t="s">
        <v>5</v>
      </c>
      <c r="D9" s="3">
        <f>MIN(A6:A27)</f>
        <v>66</v>
      </c>
      <c r="E9" s="2"/>
      <c r="F9" s="2"/>
      <c r="G9" s="3">
        <v>66</v>
      </c>
      <c r="H9" s="4">
        <f t="shared" si="2"/>
        <v>1.0213806623242535E-2</v>
      </c>
      <c r="I9" s="4">
        <f t="shared" si="0"/>
        <v>3.7432811109233417E-2</v>
      </c>
      <c r="J9" s="4">
        <f t="shared" si="1"/>
        <v>3.7432811109233417E-2</v>
      </c>
      <c r="K9" s="2"/>
    </row>
    <row r="10" spans="1:15" x14ac:dyDescent="0.35">
      <c r="A10" s="3">
        <v>81</v>
      </c>
      <c r="B10" s="2"/>
      <c r="C10" s="3" t="s">
        <v>6</v>
      </c>
      <c r="D10" s="3">
        <f>MAX(A6:A27)</f>
        <v>97</v>
      </c>
      <c r="E10" s="2"/>
      <c r="F10" s="2"/>
      <c r="G10" s="3">
        <v>68</v>
      </c>
      <c r="H10" s="4">
        <f t="shared" si="2"/>
        <v>1.545820666072273E-2</v>
      </c>
      <c r="I10" s="4">
        <f t="shared" si="0"/>
        <v>6.2875733389504238E-2</v>
      </c>
      <c r="J10" s="4">
        <f t="shared" si="1"/>
        <v>6.2875733389504238E-2</v>
      </c>
      <c r="K10" s="2"/>
    </row>
    <row r="11" spans="1:15" x14ac:dyDescent="0.35">
      <c r="A11" s="3">
        <v>75</v>
      </c>
      <c r="B11" s="2"/>
      <c r="C11" s="2"/>
      <c r="D11" s="2"/>
      <c r="E11" s="2"/>
      <c r="F11" s="2"/>
      <c r="G11" s="3">
        <v>70</v>
      </c>
      <c r="H11" s="4">
        <f t="shared" si="2"/>
        <v>2.1975595448154733E-2</v>
      </c>
      <c r="I11" s="4">
        <f t="shared" si="0"/>
        <v>0.10012171281628879</v>
      </c>
      <c r="J11" s="4">
        <f t="shared" si="1"/>
        <v>0.10012171281628879</v>
      </c>
      <c r="K11" s="2"/>
    </row>
    <row r="12" spans="1:15" x14ac:dyDescent="0.35">
      <c r="A12" s="3">
        <v>83</v>
      </c>
      <c r="B12" s="2"/>
      <c r="C12" s="2"/>
      <c r="D12" s="2"/>
      <c r="E12" s="2"/>
      <c r="F12" s="2"/>
      <c r="G12" s="3">
        <v>72</v>
      </c>
      <c r="H12" s="4">
        <f t="shared" si="2"/>
        <v>2.9344874628597993E-2</v>
      </c>
      <c r="I12" s="4">
        <f t="shared" si="0"/>
        <v>0.15135386020591093</v>
      </c>
      <c r="J12" s="4">
        <f t="shared" si="1"/>
        <v>0.15135386020591093</v>
      </c>
      <c r="K12" s="2"/>
    </row>
    <row r="13" spans="1:15" x14ac:dyDescent="0.35">
      <c r="A13" s="3">
        <v>88</v>
      </c>
      <c r="B13" s="2"/>
      <c r="C13" s="2"/>
      <c r="D13" s="2"/>
      <c r="E13" s="2"/>
      <c r="F13" s="2"/>
      <c r="G13" s="3">
        <v>74</v>
      </c>
      <c r="H13" s="4">
        <f t="shared" si="2"/>
        <v>3.6807297359700224E-2</v>
      </c>
      <c r="I13" s="4">
        <f t="shared" si="0"/>
        <v>0.2175689166732766</v>
      </c>
      <c r="J13" s="4">
        <f t="shared" si="1"/>
        <v>0.2175689166732766</v>
      </c>
      <c r="K13" s="2"/>
    </row>
    <row r="14" spans="1:15" x14ac:dyDescent="0.35">
      <c r="A14" s="3">
        <v>75</v>
      </c>
      <c r="B14" s="2"/>
      <c r="C14" s="2"/>
      <c r="D14" s="2"/>
      <c r="E14" s="2"/>
      <c r="F14" s="2"/>
      <c r="G14" s="3">
        <v>76</v>
      </c>
      <c r="H14" s="4">
        <f t="shared" si="2"/>
        <v>4.3365630560383686E-2</v>
      </c>
      <c r="I14" s="4">
        <f t="shared" si="0"/>
        <v>0.2979811654749932</v>
      </c>
      <c r="J14" s="4">
        <f t="shared" si="1"/>
        <v>0.2979811654749932</v>
      </c>
      <c r="K14" s="2"/>
    </row>
    <row r="15" spans="1:15" x14ac:dyDescent="0.35">
      <c r="A15" s="3">
        <v>82</v>
      </c>
      <c r="B15" s="2"/>
      <c r="C15" s="2"/>
      <c r="D15" s="2"/>
      <c r="E15" s="2"/>
      <c r="F15" s="2"/>
      <c r="G15" s="3">
        <v>78</v>
      </c>
      <c r="H15" s="4">
        <f t="shared" si="2"/>
        <v>4.7991847180084403E-2</v>
      </c>
      <c r="I15" s="4">
        <f t="shared" si="0"/>
        <v>0.38973814172540971</v>
      </c>
      <c r="J15" s="4">
        <f t="shared" si="1"/>
        <v>0.38973814172540971</v>
      </c>
      <c r="K15" s="2"/>
    </row>
    <row r="16" spans="1:15" x14ac:dyDescent="0.35">
      <c r="A16" s="3">
        <v>87</v>
      </c>
      <c r="B16" s="2"/>
      <c r="C16" s="2"/>
      <c r="D16" s="2"/>
      <c r="E16" s="2"/>
      <c r="F16" s="2"/>
      <c r="G16" s="3">
        <v>80</v>
      </c>
      <c r="H16" s="4">
        <f t="shared" si="2"/>
        <v>4.9888371879741739E-2</v>
      </c>
      <c r="I16" s="4">
        <f t="shared" si="0"/>
        <v>0.48811830246673682</v>
      </c>
      <c r="J16" s="4">
        <f t="shared" si="1"/>
        <v>0.48811830246673682</v>
      </c>
      <c r="K16" s="2"/>
    </row>
    <row r="17" spans="1:11" x14ac:dyDescent="0.35">
      <c r="A17" s="3">
        <v>66</v>
      </c>
      <c r="B17" s="2"/>
      <c r="C17" s="2"/>
      <c r="D17" s="2"/>
      <c r="E17" s="2"/>
      <c r="F17" s="2"/>
      <c r="G17" s="3">
        <v>82</v>
      </c>
      <c r="H17" s="4">
        <f t="shared" si="2"/>
        <v>4.8712594373408968E-2</v>
      </c>
      <c r="I17" s="4">
        <f t="shared" si="0"/>
        <v>0</v>
      </c>
      <c r="J17" s="4">
        <f t="shared" si="1"/>
        <v>0.58723060661324733</v>
      </c>
      <c r="K17" s="2"/>
    </row>
    <row r="18" spans="1:11" x14ac:dyDescent="0.35">
      <c r="A18" s="3">
        <v>71</v>
      </c>
      <c r="B18" s="2"/>
      <c r="C18" s="2"/>
      <c r="D18" s="2"/>
      <c r="E18" s="2"/>
      <c r="F18" s="2"/>
      <c r="G18" s="3">
        <v>84</v>
      </c>
      <c r="H18" s="4">
        <f t="shared" si="2"/>
        <v>4.4677951670002075E-2</v>
      </c>
      <c r="I18" s="4">
        <f t="shared" si="0"/>
        <v>0</v>
      </c>
      <c r="J18" s="4">
        <f t="shared" si="1"/>
        <v>0.68105142881275604</v>
      </c>
      <c r="K18" s="2"/>
    </row>
    <row r="19" spans="1:11" x14ac:dyDescent="0.35">
      <c r="A19" s="3">
        <v>73</v>
      </c>
      <c r="B19" s="2"/>
      <c r="C19" s="2"/>
      <c r="D19" s="2" t="s">
        <v>14</v>
      </c>
      <c r="E19" s="2"/>
      <c r="F19" s="2"/>
      <c r="G19" s="3">
        <v>86</v>
      </c>
      <c r="H19" s="4">
        <f t="shared" si="2"/>
        <v>3.8490655948032609E-2</v>
      </c>
      <c r="I19" s="4">
        <f t="shared" si="0"/>
        <v>0</v>
      </c>
      <c r="J19" s="4">
        <f t="shared" si="1"/>
        <v>0.76450068401170035</v>
      </c>
      <c r="K19" s="2"/>
    </row>
    <row r="20" spans="1:11" x14ac:dyDescent="0.35">
      <c r="A20" s="3">
        <v>76</v>
      </c>
      <c r="B20" s="2"/>
      <c r="C20" s="2"/>
      <c r="D20" s="2"/>
      <c r="E20" s="2"/>
      <c r="F20" s="2"/>
      <c r="G20" s="3">
        <v>88</v>
      </c>
      <c r="H20" s="4">
        <f t="shared" si="2"/>
        <v>3.1147804134690975E-2</v>
      </c>
      <c r="I20" s="4">
        <f t="shared" si="0"/>
        <v>0</v>
      </c>
      <c r="J20" s="4">
        <f t="shared" si="1"/>
        <v>0.83424312758504549</v>
      </c>
      <c r="K20" s="2"/>
    </row>
    <row r="21" spans="1:11" x14ac:dyDescent="0.35">
      <c r="A21" s="3">
        <v>74</v>
      </c>
      <c r="B21" s="2"/>
      <c r="C21" s="2"/>
      <c r="D21" s="2"/>
      <c r="E21" s="2"/>
      <c r="F21" s="2"/>
      <c r="G21" s="3">
        <v>90</v>
      </c>
      <c r="H21" s="4">
        <f t="shared" si="2"/>
        <v>2.3676070382904282E-2</v>
      </c>
      <c r="I21" s="4">
        <f t="shared" si="0"/>
        <v>0</v>
      </c>
      <c r="J21" s="4">
        <f t="shared" si="1"/>
        <v>0.88901065828431247</v>
      </c>
      <c r="K21" s="2"/>
    </row>
    <row r="22" spans="1:11" x14ac:dyDescent="0.35">
      <c r="A22" s="3">
        <v>72</v>
      </c>
      <c r="B22" s="2"/>
      <c r="C22" s="2"/>
      <c r="D22" s="2"/>
      <c r="E22" s="2"/>
      <c r="F22" s="2"/>
      <c r="G22" s="3">
        <v>92</v>
      </c>
      <c r="H22" s="4">
        <f t="shared" si="2"/>
        <v>1.6904482263886134E-2</v>
      </c>
      <c r="I22" s="4">
        <f t="shared" si="0"/>
        <v>0</v>
      </c>
      <c r="J22" s="4">
        <f t="shared" si="1"/>
        <v>0.92942171930496709</v>
      </c>
      <c r="K22" s="2"/>
    </row>
    <row r="23" spans="1:11" x14ac:dyDescent="0.35">
      <c r="A23" s="3">
        <v>75</v>
      </c>
      <c r="B23" s="2"/>
      <c r="C23" s="2"/>
      <c r="D23" s="2"/>
      <c r="E23" s="2"/>
      <c r="F23" s="2"/>
      <c r="G23" s="3">
        <v>94</v>
      </c>
      <c r="H23" s="4">
        <f t="shared" si="2"/>
        <v>1.1337157768487344E-2</v>
      </c>
      <c r="I23" s="4">
        <f t="shared" si="0"/>
        <v>0</v>
      </c>
      <c r="J23" s="4">
        <f t="shared" si="1"/>
        <v>0.95743914125789942</v>
      </c>
      <c r="K23" s="2"/>
    </row>
    <row r="24" spans="1:11" x14ac:dyDescent="0.35">
      <c r="A24" s="3">
        <v>81</v>
      </c>
      <c r="B24" s="2"/>
      <c r="C24" s="2"/>
      <c r="D24" s="2"/>
      <c r="E24" s="2"/>
      <c r="F24" s="2"/>
      <c r="G24" s="3">
        <v>96</v>
      </c>
      <c r="H24" s="4">
        <f t="shared" si="2"/>
        <v>7.1419461461235279E-3</v>
      </c>
      <c r="I24" s="4">
        <f t="shared" si="0"/>
        <v>0</v>
      </c>
      <c r="J24" s="4">
        <f t="shared" si="1"/>
        <v>0.97569097866854082</v>
      </c>
      <c r="K24" s="2"/>
    </row>
    <row r="25" spans="1:11" x14ac:dyDescent="0.35">
      <c r="A25" s="3">
        <v>97</v>
      </c>
      <c r="B25" s="2"/>
      <c r="C25" s="2"/>
      <c r="D25" s="2"/>
      <c r="E25" s="2"/>
      <c r="F25" s="2"/>
      <c r="G25" s="3">
        <v>98</v>
      </c>
      <c r="H25" s="4">
        <f t="shared" si="2"/>
        <v>4.226092672201788E-3</v>
      </c>
      <c r="I25" s="4">
        <f t="shared" si="0"/>
        <v>0</v>
      </c>
      <c r="J25" s="4">
        <f t="shared" si="1"/>
        <v>0.98686308705283476</v>
      </c>
      <c r="K25" s="2"/>
    </row>
    <row r="26" spans="1:11" x14ac:dyDescent="0.35">
      <c r="A26" s="3">
        <v>88</v>
      </c>
      <c r="B26" s="2"/>
      <c r="C26" s="2"/>
      <c r="D26" s="2"/>
      <c r="E26" s="2"/>
      <c r="F26" s="2"/>
      <c r="G26" s="3">
        <v>100</v>
      </c>
      <c r="H26" s="4">
        <f t="shared" si="2"/>
        <v>2.3489378497018902E-3</v>
      </c>
      <c r="I26" s="4">
        <f t="shared" si="0"/>
        <v>0</v>
      </c>
      <c r="J26" s="4">
        <f t="shared" si="1"/>
        <v>0.99328868266627179</v>
      </c>
      <c r="K26" s="2"/>
    </row>
    <row r="27" spans="1:1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38" spans="1:11" x14ac:dyDescent="0.35">
      <c r="A38" s="2" t="s">
        <v>11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3" t="s">
        <v>2</v>
      </c>
      <c r="B40" s="2"/>
      <c r="C40" s="2"/>
      <c r="D40" s="2"/>
      <c r="E40" s="2"/>
      <c r="F40" s="2"/>
      <c r="G40" s="3" t="s">
        <v>7</v>
      </c>
      <c r="H40" s="3" t="s">
        <v>8</v>
      </c>
      <c r="I40" s="3" t="s">
        <v>9</v>
      </c>
      <c r="J40" s="3" t="s">
        <v>10</v>
      </c>
      <c r="K40" s="2"/>
    </row>
    <row r="41" spans="1:11" x14ac:dyDescent="0.35">
      <c r="A41" s="3">
        <v>84</v>
      </c>
      <c r="B41" s="2"/>
      <c r="C41" s="2"/>
      <c r="D41" s="2"/>
      <c r="E41" s="2"/>
      <c r="F41" s="2"/>
      <c r="G41" s="3">
        <v>50</v>
      </c>
      <c r="H41" s="4">
        <f t="shared" ref="H41:H51" si="3">_xlfn.NORM.DIST(G41,$D$42,$D$43,FALSE)</f>
        <v>6.8219412412648377E-3</v>
      </c>
      <c r="I41" s="4">
        <f t="shared" ref="I41:I51" si="4">_xlfn.NORM.DIST(G41,$D$42,$D$43,TRUE)</f>
        <v>3.4526227232015219E-2</v>
      </c>
      <c r="J41" s="4">
        <f>IF(G41&lt;=G46,I41,0)</f>
        <v>3.4526227232015219E-2</v>
      </c>
      <c r="K41" s="2"/>
    </row>
    <row r="42" spans="1:11" x14ac:dyDescent="0.35">
      <c r="A42" s="3">
        <v>80</v>
      </c>
      <c r="B42" s="2"/>
      <c r="C42" s="3" t="s">
        <v>3</v>
      </c>
      <c r="D42" s="5">
        <f>AVERAGE(A41:A51)</f>
        <v>70.36363636363636</v>
      </c>
      <c r="E42" s="2"/>
      <c r="F42" s="2"/>
      <c r="G42" s="3">
        <v>56</v>
      </c>
      <c r="H42" s="4">
        <f t="shared" si="3"/>
        <v>1.5651689296725321E-2</v>
      </c>
      <c r="I42" s="4">
        <f t="shared" si="4"/>
        <v>9.9852376943503615E-2</v>
      </c>
      <c r="J42" s="4">
        <f t="shared" ref="J42:J51" si="5">IF(G42&lt;=G47,I42,0)</f>
        <v>9.9852376943503615E-2</v>
      </c>
      <c r="K42" s="2"/>
    </row>
    <row r="43" spans="1:11" x14ac:dyDescent="0.35">
      <c r="A43" s="3">
        <v>76</v>
      </c>
      <c r="B43" s="2"/>
      <c r="C43" s="3" t="s">
        <v>4</v>
      </c>
      <c r="D43" s="6">
        <f>STDEV(A41:A51)</f>
        <v>11.200649331826508</v>
      </c>
      <c r="E43" s="2"/>
      <c r="F43" s="2"/>
      <c r="G43" s="3">
        <v>60</v>
      </c>
      <c r="H43" s="4">
        <f t="shared" si="3"/>
        <v>2.3214608378381223E-2</v>
      </c>
      <c r="I43" s="4">
        <f t="shared" si="4"/>
        <v>0.17741247156429885</v>
      </c>
      <c r="J43" s="4">
        <f t="shared" si="5"/>
        <v>0.17741247156429885</v>
      </c>
      <c r="K43" s="2"/>
    </row>
    <row r="44" spans="1:11" x14ac:dyDescent="0.35">
      <c r="A44" s="3">
        <v>72</v>
      </c>
      <c r="B44" s="2"/>
      <c r="C44" s="3" t="s">
        <v>5</v>
      </c>
      <c r="D44" s="3">
        <f>MIN(A41:A51)</f>
        <v>52</v>
      </c>
      <c r="E44" s="2"/>
      <c r="F44" s="2"/>
      <c r="G44" s="3">
        <v>64</v>
      </c>
      <c r="H44" s="4">
        <f t="shared" si="3"/>
        <v>3.0309112766276885E-2</v>
      </c>
      <c r="I44" s="4">
        <f t="shared" si="4"/>
        <v>0.28496694007777812</v>
      </c>
      <c r="J44" s="4">
        <f t="shared" si="5"/>
        <v>0.28496694007777812</v>
      </c>
      <c r="K44" s="2"/>
    </row>
    <row r="45" spans="1:11" x14ac:dyDescent="0.35">
      <c r="A45" s="3">
        <v>68</v>
      </c>
      <c r="B45" s="2"/>
      <c r="C45" s="3" t="s">
        <v>6</v>
      </c>
      <c r="D45" s="3">
        <f>MAX(A41:A51)</f>
        <v>84</v>
      </c>
      <c r="E45" s="2"/>
      <c r="F45" s="2"/>
      <c r="G45" s="3">
        <v>68</v>
      </c>
      <c r="H45" s="4">
        <f t="shared" si="3"/>
        <v>3.4833475129909641E-2</v>
      </c>
      <c r="I45" s="4">
        <f t="shared" si="4"/>
        <v>0.41643320808639761</v>
      </c>
      <c r="J45" s="4">
        <f t="shared" si="5"/>
        <v>0.41643320808639761</v>
      </c>
      <c r="K45" s="2"/>
    </row>
    <row r="46" spans="1:11" x14ac:dyDescent="0.35">
      <c r="A46" s="3">
        <v>64</v>
      </c>
      <c r="B46" s="2"/>
      <c r="C46" s="2"/>
      <c r="D46" s="2"/>
      <c r="E46" s="2"/>
      <c r="F46" s="2"/>
      <c r="G46" s="3">
        <v>72</v>
      </c>
      <c r="H46" s="4">
        <f t="shared" si="3"/>
        <v>3.5239691837208514E-2</v>
      </c>
      <c r="I46" s="4">
        <f t="shared" si="4"/>
        <v>0.55807697142674373</v>
      </c>
      <c r="J46" s="4">
        <f t="shared" si="5"/>
        <v>0.55807697142674373</v>
      </c>
      <c r="K46" s="2"/>
    </row>
    <row r="47" spans="1:11" x14ac:dyDescent="0.35">
      <c r="A47" s="3">
        <v>60</v>
      </c>
      <c r="B47" s="2"/>
      <c r="C47" s="2"/>
      <c r="D47" s="2"/>
      <c r="E47" s="2"/>
      <c r="F47" s="2"/>
      <c r="G47" s="3">
        <v>76</v>
      </c>
      <c r="H47" s="4">
        <f t="shared" si="3"/>
        <v>3.1381891645037158E-2</v>
      </c>
      <c r="I47" s="4">
        <f t="shared" si="4"/>
        <v>0.69259434648168727</v>
      </c>
      <c r="J47" s="4">
        <f t="shared" si="5"/>
        <v>0</v>
      </c>
      <c r="K47" s="2"/>
    </row>
    <row r="48" spans="1:11" x14ac:dyDescent="0.35">
      <c r="A48" s="3">
        <v>56</v>
      </c>
      <c r="B48" s="2"/>
      <c r="C48" s="2"/>
      <c r="D48" s="2"/>
      <c r="E48" s="2"/>
      <c r="F48" s="2"/>
      <c r="G48" s="3">
        <v>80</v>
      </c>
      <c r="H48" s="4">
        <f t="shared" si="3"/>
        <v>2.4600155559790875E-2</v>
      </c>
      <c r="I48" s="4">
        <f t="shared" si="4"/>
        <v>0.80519910121027505</v>
      </c>
      <c r="J48" s="4">
        <f t="shared" si="5"/>
        <v>0</v>
      </c>
      <c r="K48" s="2"/>
    </row>
    <row r="49" spans="1:11" x14ac:dyDescent="0.35">
      <c r="A49" s="3">
        <v>52</v>
      </c>
      <c r="B49" s="2"/>
      <c r="C49" s="2"/>
      <c r="D49" s="2"/>
      <c r="E49" s="2"/>
      <c r="F49" s="2"/>
      <c r="G49" s="3">
        <v>84</v>
      </c>
      <c r="H49" s="4">
        <f t="shared" si="3"/>
        <v>1.6974942289998365E-2</v>
      </c>
      <c r="I49" s="4">
        <f t="shared" si="4"/>
        <v>0.88828573492175733</v>
      </c>
      <c r="J49" s="4">
        <f t="shared" si="5"/>
        <v>0</v>
      </c>
      <c r="K49" s="2"/>
    </row>
    <row r="50" spans="1:11" x14ac:dyDescent="0.35">
      <c r="A50" s="3">
        <v>78</v>
      </c>
      <c r="B50" s="2"/>
      <c r="C50" s="2"/>
      <c r="D50" s="2"/>
      <c r="E50" s="2"/>
      <c r="F50" s="2"/>
      <c r="G50" s="3">
        <v>88</v>
      </c>
      <c r="H50" s="4">
        <f t="shared" si="3"/>
        <v>1.0310755246160552E-2</v>
      </c>
      <c r="I50" s="4">
        <f t="shared" si="4"/>
        <v>0.9423237550132928</v>
      </c>
      <c r="J50" s="4">
        <f t="shared" si="5"/>
        <v>0</v>
      </c>
      <c r="K50" s="2"/>
    </row>
    <row r="51" spans="1:11" x14ac:dyDescent="0.35">
      <c r="A51" s="3">
        <v>84</v>
      </c>
      <c r="B51" s="2"/>
      <c r="C51" s="2"/>
      <c r="D51" s="2"/>
      <c r="E51" s="2"/>
      <c r="F51" s="2"/>
      <c r="G51" s="3">
        <v>92</v>
      </c>
      <c r="H51" s="4">
        <f t="shared" si="3"/>
        <v>5.5129539829961993E-3</v>
      </c>
      <c r="I51" s="4">
        <f t="shared" si="4"/>
        <v>0.97330210977868448</v>
      </c>
      <c r="J51" s="4">
        <f t="shared" si="5"/>
        <v>0</v>
      </c>
      <c r="K51" s="2"/>
    </row>
    <row r="52" spans="1:11" x14ac:dyDescent="0.35">
      <c r="A52" s="2"/>
      <c r="B52" s="2"/>
      <c r="C52" s="2"/>
      <c r="D52" s="2"/>
      <c r="E52" s="2"/>
      <c r="F52" s="2"/>
      <c r="G52" s="2"/>
      <c r="H52" s="7"/>
      <c r="I52" s="7"/>
      <c r="J52" s="7"/>
      <c r="K52" s="2"/>
    </row>
    <row r="53" spans="1:11" x14ac:dyDescent="0.35">
      <c r="A53" s="2"/>
      <c r="B53" s="2"/>
      <c r="C53" s="2"/>
      <c r="D53" s="2"/>
      <c r="E53" s="2"/>
      <c r="F53" s="2"/>
      <c r="G53" s="2"/>
      <c r="H53" s="7"/>
      <c r="I53" s="7"/>
      <c r="J53" s="7"/>
      <c r="K53" s="2"/>
    </row>
    <row r="54" spans="1:11" x14ac:dyDescent="0.35">
      <c r="A54" s="2"/>
      <c r="B54" s="2"/>
      <c r="C54" s="2"/>
      <c r="D54" s="2"/>
      <c r="E54" s="2"/>
      <c r="F54" s="2"/>
      <c r="G54" s="2"/>
      <c r="H54" s="7"/>
      <c r="I54" s="7"/>
      <c r="J54" s="7"/>
      <c r="K54" s="2"/>
    </row>
    <row r="55" spans="1:11" x14ac:dyDescent="0.35">
      <c r="A55" s="2"/>
      <c r="B55" s="2"/>
      <c r="C55" s="2"/>
      <c r="D55" s="2"/>
      <c r="E55" s="2"/>
      <c r="F55" s="2"/>
      <c r="G55" s="2"/>
      <c r="H55" s="7"/>
      <c r="I55" s="7"/>
      <c r="J55" s="7"/>
      <c r="K55" s="2"/>
    </row>
    <row r="56" spans="1:11" x14ac:dyDescent="0.35">
      <c r="H56" s="1"/>
      <c r="I56" s="1"/>
      <c r="J56" s="1"/>
    </row>
    <row r="57" spans="1:11" x14ac:dyDescent="0.35">
      <c r="H57" s="1"/>
      <c r="I57" s="1"/>
      <c r="J57" s="1"/>
    </row>
    <row r="58" spans="1:11" x14ac:dyDescent="0.35">
      <c r="H58" s="1"/>
      <c r="I58" s="1"/>
      <c r="J58" s="1"/>
    </row>
    <row r="59" spans="1:11" x14ac:dyDescent="0.35">
      <c r="H59" s="1"/>
      <c r="I59" s="1"/>
      <c r="J59" s="1"/>
    </row>
    <row r="79" spans="1:10" x14ac:dyDescent="0.35">
      <c r="A79" s="2" t="s">
        <v>12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5">
      <c r="A81" s="3" t="s">
        <v>2</v>
      </c>
      <c r="B81" s="2"/>
      <c r="C81" s="2"/>
      <c r="D81" s="2"/>
      <c r="E81" s="2"/>
      <c r="F81" s="2"/>
      <c r="G81" s="3" t="s">
        <v>7</v>
      </c>
      <c r="H81" s="3" t="s">
        <v>8</v>
      </c>
      <c r="I81" s="3" t="s">
        <v>9</v>
      </c>
      <c r="J81" s="3" t="s">
        <v>10</v>
      </c>
    </row>
    <row r="82" spans="1:10" x14ac:dyDescent="0.35">
      <c r="A82" s="3">
        <v>94</v>
      </c>
      <c r="B82" s="2"/>
      <c r="C82" s="2"/>
      <c r="D82" s="2"/>
      <c r="E82" s="2"/>
      <c r="F82" s="2"/>
      <c r="G82" s="3">
        <v>90</v>
      </c>
      <c r="H82" s="4">
        <f>_xlfn.NORM.DIST(G82,$D$83,$D$84,FALSE)</f>
        <v>5.8545030185113665E-3</v>
      </c>
      <c r="I82" s="4">
        <f>_xlfn.NORM.DIST(G82,$D$83,$D$84,TRUE)</f>
        <v>3.5220214636043995E-2</v>
      </c>
      <c r="J82" s="4">
        <f>IF(G82&lt;=G87,I82,0)</f>
        <v>3.5220214636043995E-2</v>
      </c>
    </row>
    <row r="83" spans="1:10" x14ac:dyDescent="0.35">
      <c r="A83" s="3">
        <v>98</v>
      </c>
      <c r="B83" s="2"/>
      <c r="C83" s="3" t="s">
        <v>3</v>
      </c>
      <c r="D83" s="5">
        <f>AVERAGE(A82:A92)</f>
        <v>114</v>
      </c>
      <c r="E83" s="2"/>
      <c r="F83" s="2"/>
      <c r="G83" s="3">
        <v>95</v>
      </c>
      <c r="H83" s="4">
        <f t="shared" ref="H83:H92" si="6">_xlfn.NORM.DIST(G83,$D$83,$D$84,FALSE)</f>
        <v>1.0783385461833168E-2</v>
      </c>
      <c r="I83" s="4">
        <f t="shared" ref="I83:I92" si="7">_xlfn.NORM.DIST(G83,$D$83,$D$84,TRUE)</f>
        <v>7.6046316240789877E-2</v>
      </c>
      <c r="J83" s="4">
        <f t="shared" ref="J83:J92" si="8">IF(G83&lt;=G88,I83,0)</f>
        <v>7.6046316240789877E-2</v>
      </c>
    </row>
    <row r="84" spans="1:10" x14ac:dyDescent="0.35">
      <c r="A84" s="3">
        <v>102</v>
      </c>
      <c r="B84" s="2"/>
      <c r="C84" s="3" t="s">
        <v>4</v>
      </c>
      <c r="D84" s="6">
        <f>STDEV(A82:A92)</f>
        <v>13.266499161421599</v>
      </c>
      <c r="E84" s="2"/>
      <c r="F84" s="2"/>
      <c r="G84" s="3">
        <v>100</v>
      </c>
      <c r="H84" s="4">
        <f t="shared" si="6"/>
        <v>1.7231800903073212E-2</v>
      </c>
      <c r="I84" s="4">
        <f t="shared" si="7"/>
        <v>0.14564642380890636</v>
      </c>
      <c r="J84" s="4">
        <f t="shared" si="8"/>
        <v>0.14564642380890636</v>
      </c>
    </row>
    <row r="85" spans="1:10" x14ac:dyDescent="0.35">
      <c r="A85" s="3">
        <v>106</v>
      </c>
      <c r="B85" s="2"/>
      <c r="C85" s="3" t="s">
        <v>5</v>
      </c>
      <c r="D85" s="3">
        <f>MIN(A82:A92)</f>
        <v>94</v>
      </c>
      <c r="E85" s="2"/>
      <c r="F85" s="2"/>
      <c r="G85" s="3">
        <v>105</v>
      </c>
      <c r="H85" s="4">
        <f t="shared" si="6"/>
        <v>2.3890027486823354E-2</v>
      </c>
      <c r="I85" s="4">
        <f t="shared" si="7"/>
        <v>0.2487588880649943</v>
      </c>
      <c r="J85" s="4">
        <f t="shared" si="8"/>
        <v>0.2487588880649943</v>
      </c>
    </row>
    <row r="86" spans="1:10" x14ac:dyDescent="0.35">
      <c r="A86" s="3">
        <v>110</v>
      </c>
      <c r="B86" s="2"/>
      <c r="C86" s="3" t="s">
        <v>6</v>
      </c>
      <c r="D86" s="3">
        <f>MAX(A82:A92)</f>
        <v>134</v>
      </c>
      <c r="E86" s="2"/>
      <c r="F86" s="2"/>
      <c r="G86" s="3">
        <v>110</v>
      </c>
      <c r="H86" s="4">
        <f t="shared" si="6"/>
        <v>2.8735123872373307E-2</v>
      </c>
      <c r="I86" s="4">
        <f t="shared" si="7"/>
        <v>0.38151230027649746</v>
      </c>
      <c r="J86" s="4">
        <f t="shared" si="8"/>
        <v>0.38151230027649746</v>
      </c>
    </row>
    <row r="87" spans="1:10" x14ac:dyDescent="0.35">
      <c r="A87" s="3">
        <v>114</v>
      </c>
      <c r="B87" s="2"/>
      <c r="C87" s="2"/>
      <c r="D87" s="2"/>
      <c r="E87" s="2"/>
      <c r="F87" s="2"/>
      <c r="G87" s="3">
        <v>115</v>
      </c>
      <c r="H87" s="4">
        <f t="shared" si="6"/>
        <v>2.9986096947736435E-2</v>
      </c>
      <c r="I87" s="4">
        <f t="shared" si="7"/>
        <v>0.5300429533866261</v>
      </c>
      <c r="J87" s="4">
        <f t="shared" si="8"/>
        <v>0.5300429533866261</v>
      </c>
    </row>
    <row r="88" spans="1:10" x14ac:dyDescent="0.35">
      <c r="A88" s="3">
        <v>118</v>
      </c>
      <c r="B88" s="2"/>
      <c r="C88" s="2"/>
      <c r="D88" s="2"/>
      <c r="E88" s="2"/>
      <c r="F88" s="2"/>
      <c r="G88" s="3">
        <v>120</v>
      </c>
      <c r="H88" s="4">
        <f t="shared" si="6"/>
        <v>2.7147963136954393E-2</v>
      </c>
      <c r="I88" s="4">
        <f t="shared" si="7"/>
        <v>0.67446168296108278</v>
      </c>
      <c r="J88" s="4">
        <f t="shared" si="8"/>
        <v>0</v>
      </c>
    </row>
    <row r="89" spans="1:10" x14ac:dyDescent="0.35">
      <c r="A89" s="3">
        <v>122</v>
      </c>
      <c r="B89" s="2"/>
      <c r="C89" s="2"/>
      <c r="D89" s="2"/>
      <c r="E89" s="2"/>
      <c r="F89" s="2"/>
      <c r="G89" s="3">
        <v>125</v>
      </c>
      <c r="H89" s="4">
        <f t="shared" si="6"/>
        <v>2.1323819797989283E-2</v>
      </c>
      <c r="I89" s="4">
        <f t="shared" si="7"/>
        <v>0.79649198636431284</v>
      </c>
      <c r="J89" s="4">
        <f t="shared" si="8"/>
        <v>0</v>
      </c>
    </row>
    <row r="90" spans="1:10" x14ac:dyDescent="0.35">
      <c r="A90" s="3">
        <v>126</v>
      </c>
      <c r="B90" s="2"/>
      <c r="C90" s="2"/>
      <c r="D90" s="2"/>
      <c r="E90" s="2"/>
      <c r="F90" s="2"/>
      <c r="G90" s="3">
        <v>130</v>
      </c>
      <c r="H90" s="4">
        <f t="shared" si="6"/>
        <v>1.4531257530067095E-2</v>
      </c>
      <c r="I90" s="4">
        <f t="shared" si="7"/>
        <v>0.88610000300588554</v>
      </c>
      <c r="J90" s="4">
        <f t="shared" si="8"/>
        <v>0</v>
      </c>
    </row>
    <row r="91" spans="1:10" x14ac:dyDescent="0.35">
      <c r="A91" s="3">
        <v>130</v>
      </c>
      <c r="B91" s="2"/>
      <c r="C91" s="2"/>
      <c r="D91" s="2"/>
      <c r="E91" s="2"/>
      <c r="F91" s="2"/>
      <c r="G91" s="3">
        <v>135</v>
      </c>
      <c r="H91" s="4">
        <f t="shared" si="6"/>
        <v>8.5911606146411926E-3</v>
      </c>
      <c r="I91" s="4">
        <f t="shared" si="7"/>
        <v>0.94328180958190866</v>
      </c>
      <c r="J91" s="4">
        <f t="shared" si="8"/>
        <v>0</v>
      </c>
    </row>
    <row r="92" spans="1:10" x14ac:dyDescent="0.35">
      <c r="A92" s="3">
        <v>134</v>
      </c>
      <c r="B92" s="2"/>
      <c r="C92" s="2"/>
      <c r="D92" s="2"/>
      <c r="E92" s="2"/>
      <c r="F92" s="2"/>
      <c r="G92" s="3">
        <v>140</v>
      </c>
      <c r="H92" s="4">
        <f t="shared" si="6"/>
        <v>4.4066739687327197E-3</v>
      </c>
      <c r="I92" s="4">
        <f t="shared" si="7"/>
        <v>0.97499180225717719</v>
      </c>
      <c r="J92" s="4">
        <f t="shared" si="8"/>
        <v>0</v>
      </c>
    </row>
    <row r="93" spans="1:10" x14ac:dyDescent="0.35">
      <c r="A93" s="2"/>
      <c r="B93" s="2"/>
      <c r="C93" s="2"/>
      <c r="D93" s="2"/>
      <c r="E93" s="2"/>
      <c r="F93" s="2"/>
      <c r="G93" s="2"/>
      <c r="H93" s="7"/>
      <c r="I93" s="7"/>
      <c r="J93" s="7"/>
    </row>
    <row r="94" spans="1:10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114" spans="1:11" x14ac:dyDescent="0.35">
      <c r="A114" s="2" t="s">
        <v>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3" t="s">
        <v>2</v>
      </c>
      <c r="B116" s="2"/>
      <c r="C116" s="2"/>
      <c r="D116" s="2"/>
      <c r="E116" s="2"/>
      <c r="F116" s="2"/>
      <c r="G116" s="3" t="s">
        <v>7</v>
      </c>
      <c r="H116" s="3" t="s">
        <v>8</v>
      </c>
      <c r="I116" s="3" t="s">
        <v>9</v>
      </c>
      <c r="J116" s="3" t="s">
        <v>10</v>
      </c>
      <c r="K116" s="2"/>
    </row>
    <row r="117" spans="1:11" x14ac:dyDescent="0.35">
      <c r="A117" s="3">
        <v>46</v>
      </c>
      <c r="B117" s="2"/>
      <c r="C117" s="2"/>
      <c r="D117" s="2"/>
      <c r="E117" s="2"/>
      <c r="F117" s="2"/>
      <c r="G117" s="3">
        <v>40</v>
      </c>
      <c r="H117" s="4">
        <f>_xlfn.NORM.DIST(G117,$D$118,$D$119,FALSE)</f>
        <v>3.5369014789829534E-3</v>
      </c>
      <c r="I117" s="4">
        <f>_xlfn.NORM.DIST(G117,$D$118,$D$119,TRUE)</f>
        <v>2.6500117166047589E-2</v>
      </c>
      <c r="J117" s="4">
        <f>IF(G117&lt;=G123,I117,0)</f>
        <v>2.6500117166047589E-2</v>
      </c>
      <c r="K117" s="2"/>
    </row>
    <row r="118" spans="1:11" x14ac:dyDescent="0.35">
      <c r="A118" s="3">
        <v>50</v>
      </c>
      <c r="B118" s="2"/>
      <c r="C118" s="3" t="s">
        <v>3</v>
      </c>
      <c r="D118" s="5">
        <f>AVERAGE(A117:A138)</f>
        <v>73.571428571428569</v>
      </c>
      <c r="E118" s="2"/>
      <c r="F118" s="2"/>
      <c r="G118" s="3">
        <v>46</v>
      </c>
      <c r="H118" s="4">
        <f t="shared" ref="H118:H130" si="9">_xlfn.NORM.DIST(G118,$D$118,$D$119,FALSE)</f>
        <v>6.5050680023274578E-3</v>
      </c>
      <c r="I118" s="4">
        <f t="shared" ref="I118:I130" si="10">_xlfn.NORM.DIST(G118,$D$118,$D$119,TRUE)</f>
        <v>5.6018491056053249E-2</v>
      </c>
      <c r="J118" s="4">
        <f t="shared" ref="J118:J130" si="11">IF(G118&lt;=G124,I118,0)</f>
        <v>5.6018491056053249E-2</v>
      </c>
      <c r="K118" s="2"/>
    </row>
    <row r="119" spans="1:11" x14ac:dyDescent="0.35">
      <c r="A119" s="3">
        <v>54</v>
      </c>
      <c r="B119" s="2"/>
      <c r="C119" s="3" t="s">
        <v>4</v>
      </c>
      <c r="D119" s="6">
        <f>STDEV(A117:A138)</f>
        <v>17.350301640979229</v>
      </c>
      <c r="E119" s="2"/>
      <c r="F119" s="2"/>
      <c r="G119" s="3">
        <v>52</v>
      </c>
      <c r="H119" s="4">
        <f t="shared" si="9"/>
        <v>1.0615591802119545E-2</v>
      </c>
      <c r="I119" s="4">
        <f t="shared" si="10"/>
        <v>0.10688079069875581</v>
      </c>
      <c r="J119" s="4">
        <f t="shared" si="11"/>
        <v>0.10688079069875581</v>
      </c>
      <c r="K119" s="2"/>
    </row>
    <row r="120" spans="1:11" x14ac:dyDescent="0.35">
      <c r="A120" s="3">
        <v>60</v>
      </c>
      <c r="B120" s="2"/>
      <c r="C120" s="3" t="s">
        <v>5</v>
      </c>
      <c r="D120" s="3">
        <f>MIN(A117:A138)</f>
        <v>46</v>
      </c>
      <c r="E120" s="2"/>
      <c r="F120" s="2"/>
      <c r="G120" s="3">
        <v>58</v>
      </c>
      <c r="H120" s="4">
        <f t="shared" si="9"/>
        <v>1.5370927390413142E-2</v>
      </c>
      <c r="I120" s="4">
        <f t="shared" si="10"/>
        <v>0.18473326716649049</v>
      </c>
      <c r="J120" s="4">
        <f t="shared" si="11"/>
        <v>0.18473326716649049</v>
      </c>
      <c r="K120" s="2"/>
    </row>
    <row r="121" spans="1:11" x14ac:dyDescent="0.35">
      <c r="A121" s="3">
        <v>64</v>
      </c>
      <c r="B121" s="2"/>
      <c r="C121" s="3" t="s">
        <v>6</v>
      </c>
      <c r="D121" s="3">
        <f>MAX(A117:A138)</f>
        <v>100</v>
      </c>
      <c r="E121" s="2"/>
      <c r="F121" s="2"/>
      <c r="G121" s="3">
        <v>64</v>
      </c>
      <c r="H121" s="4">
        <f t="shared" si="9"/>
        <v>1.9747831952414842E-2</v>
      </c>
      <c r="I121" s="4">
        <f t="shared" si="10"/>
        <v>0.29059142689470097</v>
      </c>
      <c r="J121" s="4">
        <f t="shared" si="11"/>
        <v>0.29059142689470097</v>
      </c>
      <c r="K121" s="2"/>
    </row>
    <row r="122" spans="1:11" x14ac:dyDescent="0.35">
      <c r="A122" s="3">
        <v>68</v>
      </c>
      <c r="B122" s="2"/>
      <c r="C122" s="2"/>
      <c r="D122" s="2"/>
      <c r="E122" s="2"/>
      <c r="F122" s="2"/>
      <c r="G122" s="3">
        <v>70</v>
      </c>
      <c r="H122" s="4">
        <f t="shared" si="9"/>
        <v>2.2511387608111135E-2</v>
      </c>
      <c r="I122" s="4">
        <f t="shared" si="10"/>
        <v>0.41845699103210798</v>
      </c>
      <c r="J122" s="4">
        <f t="shared" si="11"/>
        <v>0.41845699103210798</v>
      </c>
      <c r="K122" s="2"/>
    </row>
    <row r="123" spans="1:11" x14ac:dyDescent="0.35">
      <c r="A123" s="3">
        <v>72</v>
      </c>
      <c r="B123" s="2"/>
      <c r="C123" s="2"/>
      <c r="D123" s="2"/>
      <c r="E123" s="2"/>
      <c r="F123" s="2"/>
      <c r="G123" s="3">
        <v>76</v>
      </c>
      <c r="H123" s="4">
        <f t="shared" si="9"/>
        <v>2.2769243418992915E-2</v>
      </c>
      <c r="I123" s="4">
        <f t="shared" si="10"/>
        <v>0.55565928503992268</v>
      </c>
      <c r="J123" s="4">
        <f t="shared" si="11"/>
        <v>0.55565928503992268</v>
      </c>
      <c r="K123" s="2"/>
    </row>
    <row r="124" spans="1:11" x14ac:dyDescent="0.35">
      <c r="A124" s="3">
        <v>76</v>
      </c>
      <c r="B124" s="2"/>
      <c r="C124" s="2"/>
      <c r="D124" s="2"/>
      <c r="E124" s="2"/>
      <c r="F124" s="2"/>
      <c r="G124" s="3">
        <v>82</v>
      </c>
      <c r="H124" s="4">
        <f t="shared" si="9"/>
        <v>2.0434236966110627E-2</v>
      </c>
      <c r="I124" s="4">
        <f t="shared" si="10"/>
        <v>0.68644132162028759</v>
      </c>
      <c r="J124" s="4">
        <f t="shared" si="11"/>
        <v>0.68644132162028759</v>
      </c>
      <c r="K124" s="2"/>
    </row>
    <row r="125" spans="1:11" x14ac:dyDescent="0.35">
      <c r="A125" s="3">
        <v>80</v>
      </c>
      <c r="B125" s="2"/>
      <c r="C125" s="2"/>
      <c r="D125" s="2"/>
      <c r="E125" s="2"/>
      <c r="F125" s="2"/>
      <c r="G125" s="3">
        <v>88</v>
      </c>
      <c r="H125" s="4">
        <f t="shared" si="9"/>
        <v>1.6271655538230699E-2</v>
      </c>
      <c r="I125" s="4">
        <f t="shared" si="10"/>
        <v>0.79718360475103323</v>
      </c>
      <c r="J125" s="4">
        <f t="shared" si="11"/>
        <v>0</v>
      </c>
      <c r="K125" s="2"/>
    </row>
    <row r="126" spans="1:11" x14ac:dyDescent="0.35">
      <c r="A126" s="3">
        <v>84</v>
      </c>
      <c r="B126" s="2"/>
      <c r="C126" s="2"/>
      <c r="D126" s="2"/>
      <c r="E126" s="2"/>
      <c r="F126" s="2"/>
      <c r="G126" s="3">
        <v>94</v>
      </c>
      <c r="H126" s="4">
        <f t="shared" si="9"/>
        <v>1.1496576925744477E-2</v>
      </c>
      <c r="I126" s="4">
        <f t="shared" si="10"/>
        <v>0.88048580616506611</v>
      </c>
      <c r="J126" s="4">
        <f t="shared" si="11"/>
        <v>0</v>
      </c>
      <c r="K126" s="2"/>
    </row>
    <row r="127" spans="1:11" x14ac:dyDescent="0.35">
      <c r="A127" s="3">
        <v>88</v>
      </c>
      <c r="B127" s="2"/>
      <c r="C127" s="2"/>
      <c r="D127" s="2"/>
      <c r="E127" s="2"/>
      <c r="F127" s="2"/>
      <c r="G127" s="3">
        <v>100</v>
      </c>
      <c r="H127" s="4">
        <f t="shared" si="9"/>
        <v>7.2072377471558841E-3</v>
      </c>
      <c r="I127" s="4">
        <f t="shared" si="10"/>
        <v>0.93614992851863454</v>
      </c>
      <c r="J127" s="4">
        <f t="shared" si="11"/>
        <v>0</v>
      </c>
      <c r="K127" s="2"/>
    </row>
    <row r="128" spans="1:11" x14ac:dyDescent="0.35">
      <c r="A128" s="3">
        <v>92</v>
      </c>
      <c r="B128" s="2"/>
      <c r="C128" s="2"/>
      <c r="D128" s="2"/>
      <c r="E128" s="2"/>
      <c r="F128" s="2"/>
      <c r="G128" s="3">
        <v>106</v>
      </c>
      <c r="H128" s="4">
        <f t="shared" si="9"/>
        <v>4.0089684510579522E-3</v>
      </c>
      <c r="I128" s="4">
        <f t="shared" si="10"/>
        <v>0.96919203130700693</v>
      </c>
      <c r="J128" s="4">
        <f t="shared" si="11"/>
        <v>0</v>
      </c>
      <c r="K128" s="2"/>
    </row>
    <row r="129" spans="1:11" x14ac:dyDescent="0.35">
      <c r="A129" s="3">
        <v>96</v>
      </c>
      <c r="B129" s="2"/>
      <c r="C129" s="2"/>
      <c r="D129" s="2"/>
      <c r="E129" s="2"/>
      <c r="F129" s="2"/>
      <c r="G129" s="3">
        <v>112</v>
      </c>
      <c r="H129" s="4">
        <f t="shared" si="9"/>
        <v>1.9786087247146973E-3</v>
      </c>
      <c r="I129" s="4">
        <f t="shared" si="10"/>
        <v>0.98661532522117512</v>
      </c>
      <c r="J129" s="4">
        <f t="shared" si="11"/>
        <v>0</v>
      </c>
      <c r="K129" s="2"/>
    </row>
    <row r="130" spans="1:11" x14ac:dyDescent="0.35">
      <c r="A130" s="3">
        <v>100</v>
      </c>
      <c r="B130" s="2"/>
      <c r="C130" s="2"/>
      <c r="D130" s="2"/>
      <c r="E130" s="2"/>
      <c r="F130" s="2"/>
      <c r="G130" s="3">
        <v>118</v>
      </c>
      <c r="H130" s="4">
        <f t="shared" si="9"/>
        <v>8.6646433698033822E-4</v>
      </c>
      <c r="I130" s="4">
        <f t="shared" si="10"/>
        <v>0.99477662435256542</v>
      </c>
      <c r="J130" s="4">
        <f t="shared" si="11"/>
        <v>0</v>
      </c>
      <c r="K130" s="2"/>
    </row>
    <row r="131" spans="1:11" x14ac:dyDescent="0.35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2"/>
    </row>
    <row r="132" spans="1:11" x14ac:dyDescent="0.35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2"/>
    </row>
    <row r="133" spans="1:11" x14ac:dyDescent="0.35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2"/>
    </row>
    <row r="134" spans="1:11" x14ac:dyDescent="0.35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2"/>
    </row>
    <row r="135" spans="1:11" x14ac:dyDescent="0.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2"/>
    </row>
    <row r="136" spans="1:11" x14ac:dyDescent="0.35">
      <c r="H136" s="1"/>
      <c r="I136" s="1"/>
      <c r="J136" s="1"/>
    </row>
    <row r="137" spans="1:11" x14ac:dyDescent="0.35">
      <c r="H137" s="1"/>
      <c r="I137" s="1"/>
      <c r="J137" s="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SBSC</dc:creator>
  <cp:lastModifiedBy>Ibrahim Khan</cp:lastModifiedBy>
  <dcterms:created xsi:type="dcterms:W3CDTF">2025-11-20T05:19:53Z</dcterms:created>
  <dcterms:modified xsi:type="dcterms:W3CDTF">2025-11-23T13:35:50Z</dcterms:modified>
</cp:coreProperties>
</file>