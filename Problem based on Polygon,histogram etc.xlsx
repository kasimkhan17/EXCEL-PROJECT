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rahim\OneDrive\Desktop\Maths hons notes study recknor\PROJECTS\Excel Projects\"/>
    </mc:Choice>
  </mc:AlternateContent>
  <xr:revisionPtr revIDLastSave="0" documentId="8_{8176719D-67A1-4239-9030-3D3E52F1E9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5" l="1"/>
  <c r="I155" i="5"/>
  <c r="I156" i="5"/>
  <c r="I157" i="5"/>
  <c r="I158" i="5"/>
  <c r="I159" i="5"/>
  <c r="I160" i="5"/>
  <c r="I153" i="5"/>
  <c r="J155" i="5"/>
  <c r="J156" i="5" s="1"/>
  <c r="J157" i="5" s="1"/>
  <c r="J158" i="5" s="1"/>
  <c r="J159" i="5" s="1"/>
  <c r="J160" i="5" s="1"/>
  <c r="J154" i="5"/>
  <c r="J153" i="5"/>
  <c r="E76" i="5"/>
  <c r="E70" i="5"/>
  <c r="E71" i="5"/>
  <c r="E72" i="5"/>
  <c r="E73" i="5"/>
  <c r="E74" i="5"/>
  <c r="E75" i="5"/>
  <c r="E69" i="5"/>
  <c r="H95" i="5"/>
  <c r="H89" i="5"/>
  <c r="H90" i="5"/>
  <c r="H91" i="5"/>
  <c r="H92" i="5"/>
  <c r="H93" i="5"/>
  <c r="H94" i="5"/>
  <c r="H88" i="5"/>
  <c r="J88" i="5"/>
  <c r="J125" i="5"/>
  <c r="J126" i="5"/>
  <c r="J127" i="5"/>
  <c r="J128" i="5"/>
  <c r="J129" i="5"/>
  <c r="J130" i="5"/>
  <c r="J131" i="5"/>
  <c r="J124" i="5"/>
  <c r="I131" i="5"/>
  <c r="I130" i="5"/>
  <c r="I129" i="5"/>
  <c r="I128" i="5"/>
  <c r="I127" i="5"/>
  <c r="I126" i="5"/>
  <c r="I125" i="5"/>
  <c r="I124" i="5"/>
  <c r="J89" i="5"/>
  <c r="J90" i="5" s="1"/>
  <c r="J91" i="5" s="1"/>
  <c r="J92" i="5" s="1"/>
  <c r="J93" i="5" s="1"/>
  <c r="J94" i="5" s="1"/>
  <c r="J95" i="5" s="1"/>
  <c r="E77" i="5"/>
  <c r="G69" i="5"/>
  <c r="G63" i="5"/>
  <c r="G70" i="5" l="1"/>
  <c r="G71" i="5" s="1"/>
  <c r="G72" i="5" s="1"/>
  <c r="G73" i="5" s="1"/>
  <c r="G74" i="5" s="1"/>
  <c r="G75" i="5" s="1"/>
  <c r="G76" i="5" s="1"/>
</calcChain>
</file>

<file path=xl/sharedStrings.xml><?xml version="1.0" encoding="utf-8"?>
<sst xmlns="http://schemas.openxmlformats.org/spreadsheetml/2006/main" count="99" uniqueCount="33">
  <si>
    <t>River flow</t>
  </si>
  <si>
    <t>Frequency</t>
  </si>
  <si>
    <t>1001-1050</t>
  </si>
  <si>
    <t>1051-1100</t>
  </si>
  <si>
    <t>1101-1150</t>
  </si>
  <si>
    <t>1151-1200</t>
  </si>
  <si>
    <t>1201-1250</t>
  </si>
  <si>
    <t>1251-1300</t>
  </si>
  <si>
    <t>1301-1350</t>
  </si>
  <si>
    <t>1351-1400</t>
  </si>
  <si>
    <t xml:space="preserve">Assignment </t>
  </si>
  <si>
    <t>IT Skills and Data Analysis-I</t>
  </si>
  <si>
    <t>(i)</t>
  </si>
  <si>
    <t>Construct a Frequency Polygon .</t>
  </si>
  <si>
    <t>Midpoint(x)</t>
  </si>
  <si>
    <t>f</t>
  </si>
  <si>
    <t xml:space="preserve">Frequency </t>
  </si>
  <si>
    <t xml:space="preserve">Cummulative Frequency </t>
  </si>
  <si>
    <t>Realtive frequency (X)</t>
  </si>
  <si>
    <t>(ii)</t>
  </si>
  <si>
    <t xml:space="preserve">Construct a Histogram </t>
  </si>
  <si>
    <t>Total=</t>
  </si>
  <si>
    <t>(iii)</t>
  </si>
  <si>
    <t xml:space="preserve">Construct a Relative Frequency curve </t>
  </si>
  <si>
    <t>(iv)</t>
  </si>
  <si>
    <t>Construct a Ogive (less than equal to).</t>
  </si>
  <si>
    <t xml:space="preserve">Class Interval </t>
  </si>
  <si>
    <t>Upper Bound (X)</t>
  </si>
  <si>
    <t>Cumulative Frequency (Cf)</t>
  </si>
  <si>
    <t>Cumulative Relative  Frequency (Cfr)</t>
  </si>
  <si>
    <t xml:space="preserve">Cumulative  Frequency </t>
  </si>
  <si>
    <t>Question -no.5 :- The U.S. army cops of engineers performed a series of tests to measure the water flow past the proposed location of the dam . The result of the testing were used to construct the following frequency distribution.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</si>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</sst>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1" fillId="0" borderId="0" xfId="0" applyFont="1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Polygon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1'!$I$35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'Sheet 1'!$H$36:$H$43</c:f>
              <c:numCache>
                <c:formatCode>General</c:formatCode>
                <c:ptCount val="8"/>
                <c:pt idx="0">
                  <c:v>1025.5</c:v>
                </c:pt>
                <c:pt idx="1">
                  <c:v>1075.5</c:v>
                </c:pt>
                <c:pt idx="2">
                  <c:v>1125.5</c:v>
                </c:pt>
                <c:pt idx="3">
                  <c:v>1175.5</c:v>
                </c:pt>
                <c:pt idx="4">
                  <c:v>1225.5</c:v>
                </c:pt>
                <c:pt idx="5">
                  <c:v>1275.5</c:v>
                </c:pt>
                <c:pt idx="6">
                  <c:v>1325.5</c:v>
                </c:pt>
                <c:pt idx="7">
                  <c:v>1375.5</c:v>
                </c:pt>
              </c:numCache>
            </c:numRef>
          </c:xVal>
          <c:yVal>
            <c:numRef>
              <c:f>'Sheet 1'!$I$36:$I$43</c:f>
              <c:numCache>
                <c:formatCode>General</c:formatCode>
                <c:ptCount val="8"/>
                <c:pt idx="0">
                  <c:v>7</c:v>
                </c:pt>
                <c:pt idx="1">
                  <c:v>21</c:v>
                </c:pt>
                <c:pt idx="2">
                  <c:v>32</c:v>
                </c:pt>
                <c:pt idx="3">
                  <c:v>49</c:v>
                </c:pt>
                <c:pt idx="4">
                  <c:v>58</c:v>
                </c:pt>
                <c:pt idx="5">
                  <c:v>41</c:v>
                </c:pt>
                <c:pt idx="6">
                  <c:v>27</c:v>
                </c:pt>
                <c:pt idx="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2-48FA-A793-B6AD185FA1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1959344"/>
        <c:axId val="71961264"/>
      </c:scatterChart>
      <c:valAx>
        <c:axId val="7195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1264"/>
        <c:crosses val="autoZero"/>
        <c:crossBetween val="midCat"/>
      </c:valAx>
      <c:valAx>
        <c:axId val="7196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5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Curve </a:t>
            </a:r>
          </a:p>
        </c:rich>
      </c:tx>
      <c:layout>
        <c:manualLayout>
          <c:xMode val="edge"/>
          <c:yMode val="edge"/>
          <c:x val="0.34288265346772839"/>
          <c:y val="5.103093197750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1'!$I$35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'Sheet 1'!$H$36:$H$43</c:f>
              <c:numCache>
                <c:formatCode>General</c:formatCode>
                <c:ptCount val="8"/>
                <c:pt idx="0">
                  <c:v>1025.5</c:v>
                </c:pt>
                <c:pt idx="1">
                  <c:v>1075.5</c:v>
                </c:pt>
                <c:pt idx="2">
                  <c:v>1125.5</c:v>
                </c:pt>
                <c:pt idx="3">
                  <c:v>1175.5</c:v>
                </c:pt>
                <c:pt idx="4">
                  <c:v>1225.5</c:v>
                </c:pt>
                <c:pt idx="5">
                  <c:v>1275.5</c:v>
                </c:pt>
                <c:pt idx="6">
                  <c:v>1325.5</c:v>
                </c:pt>
                <c:pt idx="7">
                  <c:v>1375.5</c:v>
                </c:pt>
              </c:numCache>
            </c:numRef>
          </c:cat>
          <c:val>
            <c:numRef>
              <c:f>'Sheet 1'!$I$36:$I$43</c:f>
              <c:numCache>
                <c:formatCode>General</c:formatCode>
                <c:ptCount val="8"/>
                <c:pt idx="0">
                  <c:v>7</c:v>
                </c:pt>
                <c:pt idx="1">
                  <c:v>21</c:v>
                </c:pt>
                <c:pt idx="2">
                  <c:v>32</c:v>
                </c:pt>
                <c:pt idx="3">
                  <c:v>49</c:v>
                </c:pt>
                <c:pt idx="4">
                  <c:v>58</c:v>
                </c:pt>
                <c:pt idx="5">
                  <c:v>41</c:v>
                </c:pt>
                <c:pt idx="6">
                  <c:v>27</c:v>
                </c:pt>
                <c:pt idx="7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7E-4235-89FA-E56F245A2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16512"/>
        <c:axId val="125523232"/>
      </c:lineChart>
      <c:catAx>
        <c:axId val="12551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23232"/>
        <c:crosses val="autoZero"/>
        <c:auto val="1"/>
        <c:lblAlgn val="ctr"/>
        <c:lblOffset val="100"/>
        <c:noMultiLvlLbl val="0"/>
      </c:catAx>
      <c:valAx>
        <c:axId val="1255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Frequency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1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Frequency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1'!$G$54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'Sheet 1'!$F$55:$F$62</c:f>
              <c:strCache>
                <c:ptCount val="8"/>
                <c:pt idx="0">
                  <c:v>1001-1050</c:v>
                </c:pt>
                <c:pt idx="1">
                  <c:v>1051-1100</c:v>
                </c:pt>
                <c:pt idx="2">
                  <c:v>1101-1150</c:v>
                </c:pt>
                <c:pt idx="3">
                  <c:v>1151-1200</c:v>
                </c:pt>
                <c:pt idx="4">
                  <c:v>1201-1250</c:v>
                </c:pt>
                <c:pt idx="5">
                  <c:v>1251-1300</c:v>
                </c:pt>
                <c:pt idx="6">
                  <c:v>1301-1350</c:v>
                </c:pt>
                <c:pt idx="7">
                  <c:v>1351-1400</c:v>
                </c:pt>
              </c:strCache>
            </c:strRef>
          </c:cat>
          <c:val>
            <c:numRef>
              <c:f>'Sheet 1'!$G$55:$G$62</c:f>
              <c:numCache>
                <c:formatCode>General</c:formatCode>
                <c:ptCount val="8"/>
                <c:pt idx="0">
                  <c:v>7</c:v>
                </c:pt>
                <c:pt idx="1">
                  <c:v>21</c:v>
                </c:pt>
                <c:pt idx="2">
                  <c:v>32</c:v>
                </c:pt>
                <c:pt idx="3">
                  <c:v>49</c:v>
                </c:pt>
                <c:pt idx="4">
                  <c:v>58</c:v>
                </c:pt>
                <c:pt idx="5">
                  <c:v>41</c:v>
                </c:pt>
                <c:pt idx="6">
                  <c:v>27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2-4920-BF45-93FBDD27A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7"/>
        <c:axId val="1338914480"/>
        <c:axId val="1338913040"/>
      </c:barChart>
      <c:catAx>
        <c:axId val="133891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13040"/>
        <c:crosses val="autoZero"/>
        <c:auto val="1"/>
        <c:lblAlgn val="ctr"/>
        <c:lblOffset val="100"/>
        <c:noMultiLvlLbl val="0"/>
      </c:catAx>
      <c:valAx>
        <c:axId val="1338913040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14480"/>
        <c:crosses val="autoZero"/>
        <c:crossBetween val="between"/>
      </c:valAx>
      <c:spPr>
        <a:noFill/>
        <a:ln w="0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Realtive 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Frequency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1'!$E$68</c:f>
              <c:strCache>
                <c:ptCount val="1"/>
                <c:pt idx="0">
                  <c:v>Realtive frequency (X)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'Sheet 1'!$D$69:$D$76</c:f>
              <c:strCache>
                <c:ptCount val="8"/>
                <c:pt idx="0">
                  <c:v>1001-1050</c:v>
                </c:pt>
                <c:pt idx="1">
                  <c:v>1051-1100</c:v>
                </c:pt>
                <c:pt idx="2">
                  <c:v>1101-1150</c:v>
                </c:pt>
                <c:pt idx="3">
                  <c:v>1151-1200</c:v>
                </c:pt>
                <c:pt idx="4">
                  <c:v>1201-1250</c:v>
                </c:pt>
                <c:pt idx="5">
                  <c:v>1251-1300</c:v>
                </c:pt>
                <c:pt idx="6">
                  <c:v>1301-1350</c:v>
                </c:pt>
                <c:pt idx="7">
                  <c:v>1351-1400</c:v>
                </c:pt>
              </c:strCache>
            </c:strRef>
          </c:cat>
          <c:val>
            <c:numRef>
              <c:f>'Sheet 1'!$E$69:$E$76</c:f>
              <c:numCache>
                <c:formatCode>0.000</c:formatCode>
                <c:ptCount val="8"/>
                <c:pt idx="0">
                  <c:v>2.7777777777777776E-2</c:v>
                </c:pt>
                <c:pt idx="1">
                  <c:v>8.3333333333333329E-2</c:v>
                </c:pt>
                <c:pt idx="2">
                  <c:v>0.12698412698412698</c:v>
                </c:pt>
                <c:pt idx="3">
                  <c:v>0.19444444444444445</c:v>
                </c:pt>
                <c:pt idx="4">
                  <c:v>0.23015873015873015</c:v>
                </c:pt>
                <c:pt idx="5">
                  <c:v>0.1626984126984127</c:v>
                </c:pt>
                <c:pt idx="6">
                  <c:v>0.10714285714285714</c:v>
                </c:pt>
                <c:pt idx="7">
                  <c:v>6.7460317460317457E-2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F-46B5-AD61-BF69C09C0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89248528"/>
        <c:axId val="189241808"/>
      </c:barChart>
      <c:catAx>
        <c:axId val="189248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1808"/>
        <c:crosses val="autoZero"/>
        <c:auto val="1"/>
        <c:lblAlgn val="ctr"/>
        <c:lblOffset val="100"/>
        <c:noMultiLvlLbl val="0"/>
      </c:catAx>
      <c:valAx>
        <c:axId val="1892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Relative Frequnecy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1'!$H$87</c:f>
              <c:strCache>
                <c:ptCount val="1"/>
                <c:pt idx="0">
                  <c:v>Realtive frequency (X)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'Sheet 1'!$G$88:$G$95</c:f>
              <c:numCache>
                <c:formatCode>General</c:formatCode>
                <c:ptCount val="8"/>
                <c:pt idx="0">
                  <c:v>1025.5</c:v>
                </c:pt>
                <c:pt idx="1">
                  <c:v>1075.5</c:v>
                </c:pt>
                <c:pt idx="2">
                  <c:v>1125.5</c:v>
                </c:pt>
                <c:pt idx="3">
                  <c:v>1175.5</c:v>
                </c:pt>
                <c:pt idx="4">
                  <c:v>1225.5</c:v>
                </c:pt>
                <c:pt idx="5">
                  <c:v>1275.5</c:v>
                </c:pt>
                <c:pt idx="6">
                  <c:v>1325.5</c:v>
                </c:pt>
                <c:pt idx="7">
                  <c:v>1375.5</c:v>
                </c:pt>
              </c:numCache>
            </c:numRef>
          </c:cat>
          <c:val>
            <c:numRef>
              <c:f>'Sheet 1'!$H$88:$H$95</c:f>
              <c:numCache>
                <c:formatCode>0.000</c:formatCode>
                <c:ptCount val="8"/>
                <c:pt idx="0">
                  <c:v>2.7777777777777776E-2</c:v>
                </c:pt>
                <c:pt idx="1">
                  <c:v>8.3333333333333329E-2</c:v>
                </c:pt>
                <c:pt idx="2">
                  <c:v>0.12698412698412698</c:v>
                </c:pt>
                <c:pt idx="3">
                  <c:v>0.19444444444444445</c:v>
                </c:pt>
                <c:pt idx="4">
                  <c:v>0.23015873015873015</c:v>
                </c:pt>
                <c:pt idx="5">
                  <c:v>0.1626984126984127</c:v>
                </c:pt>
                <c:pt idx="6">
                  <c:v>0.10714285714285714</c:v>
                </c:pt>
                <c:pt idx="7">
                  <c:v>6.7460317460317457E-2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D-498E-AF30-D8D2250983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4101280"/>
        <c:axId val="194092160"/>
      </c:lineChart>
      <c:catAx>
        <c:axId val="194101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2160"/>
        <c:crosses val="autoZero"/>
        <c:auto val="1"/>
        <c:lblAlgn val="ctr"/>
        <c:lblOffset val="100"/>
        <c:noMultiLvlLbl val="0"/>
      </c:catAx>
      <c:valAx>
        <c:axId val="1940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</a:t>
                </a:r>
                <a:r>
                  <a:rPr lang="en-IN"/>
                  <a:t> Frequnecy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Realtive frequency  Polygon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 1'!$H$87</c:f>
              <c:strCache>
                <c:ptCount val="1"/>
                <c:pt idx="0">
                  <c:v>Realtive frequency 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'Sheet 1'!$G$88:$G$95</c:f>
              <c:numCache>
                <c:formatCode>General</c:formatCode>
                <c:ptCount val="8"/>
                <c:pt idx="0">
                  <c:v>1025.5</c:v>
                </c:pt>
                <c:pt idx="1">
                  <c:v>1075.5</c:v>
                </c:pt>
                <c:pt idx="2">
                  <c:v>1125.5</c:v>
                </c:pt>
                <c:pt idx="3">
                  <c:v>1175.5</c:v>
                </c:pt>
                <c:pt idx="4">
                  <c:v>1225.5</c:v>
                </c:pt>
                <c:pt idx="5">
                  <c:v>1275.5</c:v>
                </c:pt>
                <c:pt idx="6">
                  <c:v>1325.5</c:v>
                </c:pt>
                <c:pt idx="7">
                  <c:v>1375.5</c:v>
                </c:pt>
              </c:numCache>
            </c:numRef>
          </c:xVal>
          <c:yVal>
            <c:numRef>
              <c:f>'Sheet 1'!$H$88:$H$95</c:f>
              <c:numCache>
                <c:formatCode>0.000</c:formatCode>
                <c:ptCount val="8"/>
                <c:pt idx="0">
                  <c:v>2.7777777777777776E-2</c:v>
                </c:pt>
                <c:pt idx="1">
                  <c:v>8.3333333333333329E-2</c:v>
                </c:pt>
                <c:pt idx="2">
                  <c:v>0.12698412698412698</c:v>
                </c:pt>
                <c:pt idx="3">
                  <c:v>0.19444444444444445</c:v>
                </c:pt>
                <c:pt idx="4">
                  <c:v>0.23015873015873015</c:v>
                </c:pt>
                <c:pt idx="5">
                  <c:v>0.1626984126984127</c:v>
                </c:pt>
                <c:pt idx="6">
                  <c:v>0.10714285714285714</c:v>
                </c:pt>
                <c:pt idx="7">
                  <c:v>6.7460317460317457E-2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5F-48A0-B5D2-8BB86155D9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3189808"/>
        <c:axId val="153187408"/>
      </c:scatterChart>
      <c:valAx>
        <c:axId val="15318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87408"/>
        <c:crosses val="autoZero"/>
        <c:crossBetween val="midCat"/>
      </c:valAx>
      <c:valAx>
        <c:axId val="15318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</a:t>
                </a:r>
                <a:r>
                  <a:rPr lang="en-US" baseline="0"/>
                  <a:t>  Frequency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8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 1'!$I$123</c:f>
              <c:strCache>
                <c:ptCount val="1"/>
                <c:pt idx="0">
                  <c:v>Cumulative Frequency (Cf)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1'!$H$124:$H$131</c:f>
              <c:numCache>
                <c:formatCode>General</c:formatCode>
                <c:ptCount val="8"/>
                <c:pt idx="0">
                  <c:v>1001</c:v>
                </c:pt>
                <c:pt idx="1">
                  <c:v>1051</c:v>
                </c:pt>
                <c:pt idx="2">
                  <c:v>1101</c:v>
                </c:pt>
                <c:pt idx="3">
                  <c:v>1151</c:v>
                </c:pt>
                <c:pt idx="4">
                  <c:v>1201</c:v>
                </c:pt>
                <c:pt idx="5">
                  <c:v>1251</c:v>
                </c:pt>
                <c:pt idx="6">
                  <c:v>1301</c:v>
                </c:pt>
                <c:pt idx="7">
                  <c:v>1351</c:v>
                </c:pt>
              </c:numCache>
            </c:numRef>
          </c:xVal>
          <c:yVal>
            <c:numRef>
              <c:f>'Sheet 1'!$I$124:$I$131</c:f>
              <c:numCache>
                <c:formatCode>General</c:formatCode>
                <c:ptCount val="8"/>
                <c:pt idx="0">
                  <c:v>7</c:v>
                </c:pt>
                <c:pt idx="1">
                  <c:v>28</c:v>
                </c:pt>
                <c:pt idx="2">
                  <c:v>60</c:v>
                </c:pt>
                <c:pt idx="3">
                  <c:v>109</c:v>
                </c:pt>
                <c:pt idx="4">
                  <c:v>167</c:v>
                </c:pt>
                <c:pt idx="5">
                  <c:v>208</c:v>
                </c:pt>
                <c:pt idx="6">
                  <c:v>235</c:v>
                </c:pt>
                <c:pt idx="7">
                  <c:v>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09-432F-A336-93EEEE97E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88800"/>
        <c:axId val="194100800"/>
      </c:scatterChart>
      <c:valAx>
        <c:axId val="19408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0800"/>
        <c:crosses val="autoZero"/>
        <c:crossBetween val="midCat"/>
      </c:valAx>
      <c:valAx>
        <c:axId val="19410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Less</a:t>
            </a:r>
            <a:r>
              <a:rPr lang="en-US" baseline="0"/>
              <a:t> than Ogive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 1'!$I$152</c:f>
              <c:strCache>
                <c:ptCount val="1"/>
                <c:pt idx="0">
                  <c:v>Cumulative Relative  Frequency (Cfr)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1'!$H$153:$H$160</c:f>
              <c:numCache>
                <c:formatCode>General</c:formatCode>
                <c:ptCount val="8"/>
                <c:pt idx="0">
                  <c:v>1001</c:v>
                </c:pt>
                <c:pt idx="1">
                  <c:v>1051</c:v>
                </c:pt>
                <c:pt idx="2">
                  <c:v>1101</c:v>
                </c:pt>
                <c:pt idx="3">
                  <c:v>1151</c:v>
                </c:pt>
                <c:pt idx="4">
                  <c:v>1201</c:v>
                </c:pt>
                <c:pt idx="5">
                  <c:v>1251</c:v>
                </c:pt>
                <c:pt idx="6">
                  <c:v>1301</c:v>
                </c:pt>
                <c:pt idx="7">
                  <c:v>1351</c:v>
                </c:pt>
              </c:numCache>
            </c:numRef>
          </c:xVal>
          <c:yVal>
            <c:numRef>
              <c:f>'Sheet 1'!$I$153:$I$160</c:f>
              <c:numCache>
                <c:formatCode>General</c:formatCode>
                <c:ptCount val="8"/>
                <c:pt idx="0">
                  <c:v>2.7777777777777776E-2</c:v>
                </c:pt>
                <c:pt idx="1">
                  <c:v>0.1111111111111111</c:v>
                </c:pt>
                <c:pt idx="2">
                  <c:v>0.23809523809523808</c:v>
                </c:pt>
                <c:pt idx="3">
                  <c:v>0.43253968253968256</c:v>
                </c:pt>
                <c:pt idx="4">
                  <c:v>0.66269841269841268</c:v>
                </c:pt>
                <c:pt idx="5">
                  <c:v>0.82539682539682535</c:v>
                </c:pt>
                <c:pt idx="6">
                  <c:v>0.93253968253968256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0F-458A-97B9-543CC545E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91248"/>
        <c:axId val="153190288"/>
      </c:scatterChart>
      <c:valAx>
        <c:axId val="15319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0288"/>
        <c:crosses val="autoZero"/>
        <c:crossBetween val="midCat"/>
      </c:valAx>
      <c:valAx>
        <c:axId val="15319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913945</xdr:colOff>
      <xdr:row>33</xdr:row>
      <xdr:rowOff>138339</xdr:rowOff>
    </xdr:from>
    <xdr:to>
      <xdr:col>15</xdr:col>
      <xdr:colOff>92982</xdr:colOff>
      <xdr:row>45</xdr:row>
      <xdr:rowOff>27827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5B22F7-8DC3-0CF0-48E2-56AD2B877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595415</xdr:colOff>
      <xdr:row>18</xdr:row>
      <xdr:rowOff>93189</xdr:rowOff>
    </xdr:from>
    <xdr:to>
      <xdr:col>3</xdr:col>
      <xdr:colOff>115455</xdr:colOff>
      <xdr:row>30</xdr:row>
      <xdr:rowOff>35461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9A8F2C-3942-EAF0-C54A-9D4E90371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131536</xdr:colOff>
      <xdr:row>49</xdr:row>
      <xdr:rowOff>57149</xdr:rowOff>
    </xdr:from>
    <xdr:to>
      <xdr:col>14</xdr:col>
      <xdr:colOff>131536</xdr:colOff>
      <xdr:row>64</xdr:row>
      <xdr:rowOff>78920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5B9638-60D9-C9A8-FA2E-6533D6EDE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68036</xdr:colOff>
      <xdr:row>65</xdr:row>
      <xdr:rowOff>93436</xdr:rowOff>
    </xdr:from>
    <xdr:to>
      <xdr:col>14</xdr:col>
      <xdr:colOff>68036</xdr:colOff>
      <xdr:row>80</xdr:row>
      <xdr:rowOff>115207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7FF8A0-020B-9C52-7D8A-2A106A0AA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242454</xdr:colOff>
      <xdr:row>87</xdr:row>
      <xdr:rowOff>100446</xdr:rowOff>
    </xdr:from>
    <xdr:to>
      <xdr:col>4</xdr:col>
      <xdr:colOff>808181</xdr:colOff>
      <xdr:row>102</xdr:row>
      <xdr:rowOff>72737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421C715-0118-150E-DC6D-E0160A827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86</xdr:row>
      <xdr:rowOff>88901</xdr:rowOff>
    </xdr:from>
    <xdr:to>
      <xdr:col>16</xdr:col>
      <xdr:colOff>554182</xdr:colOff>
      <xdr:row>101</xdr:row>
      <xdr:rowOff>61191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9CA6C7B-8C19-887E-D275-C5A6DD468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819727</xdr:colOff>
      <xdr:row>132</xdr:row>
      <xdr:rowOff>65809</xdr:rowOff>
    </xdr:from>
    <xdr:to>
      <xdr:col>8</xdr:col>
      <xdr:colOff>1489363</xdr:colOff>
      <xdr:row>147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FCA8473-6497-9F94-5278-471329F44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727363</xdr:colOff>
      <xdr:row>162</xdr:row>
      <xdr:rowOff>111991</xdr:rowOff>
    </xdr:from>
    <xdr:to>
      <xdr:col>9</xdr:col>
      <xdr:colOff>46182</xdr:colOff>
      <xdr:row>177</xdr:row>
      <xdr:rowOff>84282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E1EE88F-A6DF-4EC2-3A78-7F51871E0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D920-9D00-4E0A-93D3-56F7A81861B5}">
  <dimension ref="A1:J213"/>
  <sheetViews>
    <sheetView tabSelected="1" zoomScale="40" zoomScaleNormal="40" workbookViewId="0">
      <selection activeCell="K7" sqref="K7"/>
    </sheetView>
  </sheetViews>
  <sheetFormatPr defaultRowHeight="14.5" x14ac:dyDescent="0.35"/>
  <cols>
    <col min="1" max="1" width="12.54296875" customWidth="1"/>
    <col min="2" max="2" width="36.08984375" customWidth="1"/>
    <col min="4" max="4" width="11.6328125" customWidth="1"/>
    <col min="5" max="5" width="18.7265625" customWidth="1"/>
    <col min="6" max="6" width="13.6328125" customWidth="1"/>
    <col min="7" max="7" width="21.81640625" customWidth="1"/>
    <col min="8" max="8" width="20.36328125" customWidth="1"/>
    <col min="9" max="9" width="33.08984375" customWidth="1"/>
    <col min="10" max="10" width="33.1796875" customWidth="1"/>
    <col min="16" max="16" width="32.08984375" customWidth="1"/>
  </cols>
  <sheetData>
    <row r="1" spans="1:9" ht="31" x14ac:dyDescent="0.7">
      <c r="I1" s="8" t="s">
        <v>10</v>
      </c>
    </row>
    <row r="2" spans="1:9" ht="18.5" x14ac:dyDescent="0.45">
      <c r="I2" s="9" t="s">
        <v>11</v>
      </c>
    </row>
    <row r="4" spans="1:9" s="2" customFormat="1" x14ac:dyDescent="0.35">
      <c r="A4" s="2" t="s">
        <v>31</v>
      </c>
    </row>
    <row r="6" spans="1:9" x14ac:dyDescent="0.35">
      <c r="F6" s="3" t="s">
        <v>0</v>
      </c>
      <c r="G6" s="3" t="s">
        <v>1</v>
      </c>
    </row>
    <row r="7" spans="1:9" x14ac:dyDescent="0.35">
      <c r="F7" s="3" t="s">
        <v>2</v>
      </c>
      <c r="G7" s="3">
        <v>7</v>
      </c>
    </row>
    <row r="8" spans="1:9" x14ac:dyDescent="0.35">
      <c r="F8" s="3" t="s">
        <v>3</v>
      </c>
      <c r="G8" s="3">
        <v>21</v>
      </c>
    </row>
    <row r="9" spans="1:9" x14ac:dyDescent="0.35">
      <c r="F9" s="3" t="s">
        <v>4</v>
      </c>
      <c r="G9" s="3">
        <v>32</v>
      </c>
    </row>
    <row r="10" spans="1:9" x14ac:dyDescent="0.35">
      <c r="F10" s="3" t="s">
        <v>5</v>
      </c>
      <c r="G10" s="3">
        <v>49</v>
      </c>
    </row>
    <row r="11" spans="1:9" x14ac:dyDescent="0.35">
      <c r="F11" s="3" t="s">
        <v>6</v>
      </c>
      <c r="G11" s="3">
        <v>58</v>
      </c>
    </row>
    <row r="12" spans="1:9" x14ac:dyDescent="0.35">
      <c r="F12" s="3" t="s">
        <v>7</v>
      </c>
      <c r="G12" s="3">
        <v>41</v>
      </c>
    </row>
    <row r="13" spans="1:9" x14ac:dyDescent="0.35">
      <c r="F13" s="3" t="s">
        <v>8</v>
      </c>
      <c r="G13" s="3">
        <v>27</v>
      </c>
    </row>
    <row r="14" spans="1:9" x14ac:dyDescent="0.35">
      <c r="F14" s="3" t="s">
        <v>9</v>
      </c>
      <c r="G14" s="3">
        <v>17</v>
      </c>
    </row>
    <row r="15" spans="1:9" x14ac:dyDescent="0.35">
      <c r="F15" s="2"/>
      <c r="G15" s="2"/>
    </row>
    <row r="18" spans="1:7" x14ac:dyDescent="0.35">
      <c r="A18" t="s">
        <v>12</v>
      </c>
      <c r="B18" s="2" t="s">
        <v>13</v>
      </c>
    </row>
    <row r="20" spans="1:7" x14ac:dyDescent="0.35">
      <c r="F20" s="3" t="s">
        <v>0</v>
      </c>
      <c r="G20" s="3" t="s">
        <v>1</v>
      </c>
    </row>
    <row r="21" spans="1:7" x14ac:dyDescent="0.35">
      <c r="F21" s="3" t="s">
        <v>2</v>
      </c>
      <c r="G21" s="3">
        <v>7</v>
      </c>
    </row>
    <row r="22" spans="1:7" x14ac:dyDescent="0.35">
      <c r="F22" s="3" t="s">
        <v>3</v>
      </c>
      <c r="G22" s="3">
        <v>21</v>
      </c>
    </row>
    <row r="23" spans="1:7" x14ac:dyDescent="0.35">
      <c r="F23" s="3" t="s">
        <v>4</v>
      </c>
      <c r="G23" s="3">
        <v>32</v>
      </c>
    </row>
    <row r="24" spans="1:7" x14ac:dyDescent="0.35">
      <c r="F24" s="3" t="s">
        <v>5</v>
      </c>
      <c r="G24" s="3">
        <v>49</v>
      </c>
    </row>
    <row r="25" spans="1:7" x14ac:dyDescent="0.35">
      <c r="F25" s="3" t="s">
        <v>6</v>
      </c>
      <c r="G25" s="3">
        <v>58</v>
      </c>
    </row>
    <row r="26" spans="1:7" x14ac:dyDescent="0.35">
      <c r="F26" s="3" t="s">
        <v>7</v>
      </c>
      <c r="G26" s="3">
        <v>41</v>
      </c>
    </row>
    <row r="27" spans="1:7" x14ac:dyDescent="0.35">
      <c r="F27" s="3" t="s">
        <v>8</v>
      </c>
      <c r="G27" s="3">
        <v>27</v>
      </c>
    </row>
    <row r="28" spans="1:7" x14ac:dyDescent="0.35">
      <c r="F28" s="3" t="s">
        <v>9</v>
      </c>
      <c r="G28" s="3">
        <v>17</v>
      </c>
    </row>
    <row r="29" spans="1:7" x14ac:dyDescent="0.35">
      <c r="F29" s="2"/>
      <c r="G29" s="2"/>
    </row>
    <row r="34" spans="8:9" x14ac:dyDescent="0.35">
      <c r="H34" s="1"/>
    </row>
    <row r="35" spans="8:9" x14ac:dyDescent="0.35">
      <c r="H35" s="3" t="s">
        <v>14</v>
      </c>
      <c r="I35" s="6" t="s">
        <v>15</v>
      </c>
    </row>
    <row r="36" spans="8:9" x14ac:dyDescent="0.35">
      <c r="H36" s="3">
        <v>1025.5</v>
      </c>
      <c r="I36" s="7">
        <v>7</v>
      </c>
    </row>
    <row r="37" spans="8:9" x14ac:dyDescent="0.35">
      <c r="H37" s="3">
        <v>1075.5</v>
      </c>
      <c r="I37" s="7">
        <v>21</v>
      </c>
    </row>
    <row r="38" spans="8:9" x14ac:dyDescent="0.35">
      <c r="H38" s="3">
        <v>1125.5</v>
      </c>
      <c r="I38" s="7">
        <v>32</v>
      </c>
    </row>
    <row r="39" spans="8:9" x14ac:dyDescent="0.35">
      <c r="H39" s="3">
        <v>1175.5</v>
      </c>
      <c r="I39" s="7">
        <v>49</v>
      </c>
    </row>
    <row r="40" spans="8:9" x14ac:dyDescent="0.35">
      <c r="H40" s="3">
        <v>1225.5</v>
      </c>
      <c r="I40" s="7">
        <v>58</v>
      </c>
    </row>
    <row r="41" spans="8:9" x14ac:dyDescent="0.35">
      <c r="H41" s="3">
        <v>1275.5</v>
      </c>
      <c r="I41" s="7">
        <v>41</v>
      </c>
    </row>
    <row r="42" spans="8:9" x14ac:dyDescent="0.35">
      <c r="H42" s="3">
        <v>1325.5</v>
      </c>
      <c r="I42" s="7">
        <v>27</v>
      </c>
    </row>
    <row r="43" spans="8:9" x14ac:dyDescent="0.35">
      <c r="H43" s="3">
        <v>1375.5</v>
      </c>
      <c r="I43" s="7">
        <v>17</v>
      </c>
    </row>
    <row r="51" spans="1:7" x14ac:dyDescent="0.35">
      <c r="A51" t="s">
        <v>19</v>
      </c>
      <c r="B51" s="2" t="s">
        <v>20</v>
      </c>
    </row>
    <row r="54" spans="1:7" x14ac:dyDescent="0.35">
      <c r="F54" s="3" t="s">
        <v>0</v>
      </c>
      <c r="G54" s="3" t="s">
        <v>1</v>
      </c>
    </row>
    <row r="55" spans="1:7" x14ac:dyDescent="0.35">
      <c r="F55" s="3" t="s">
        <v>2</v>
      </c>
      <c r="G55" s="3">
        <v>7</v>
      </c>
    </row>
    <row r="56" spans="1:7" x14ac:dyDescent="0.35">
      <c r="F56" s="3" t="s">
        <v>3</v>
      </c>
      <c r="G56" s="3">
        <v>21</v>
      </c>
    </row>
    <row r="57" spans="1:7" x14ac:dyDescent="0.35">
      <c r="F57" s="3" t="s">
        <v>4</v>
      </c>
      <c r="G57" s="3">
        <v>32</v>
      </c>
    </row>
    <row r="58" spans="1:7" x14ac:dyDescent="0.35">
      <c r="F58" s="3" t="s">
        <v>5</v>
      </c>
      <c r="G58" s="3">
        <v>49</v>
      </c>
    </row>
    <row r="59" spans="1:7" x14ac:dyDescent="0.35">
      <c r="F59" s="3" t="s">
        <v>6</v>
      </c>
      <c r="G59" s="3">
        <v>58</v>
      </c>
    </row>
    <row r="60" spans="1:7" x14ac:dyDescent="0.35">
      <c r="F60" s="3" t="s">
        <v>7</v>
      </c>
      <c r="G60" s="3">
        <v>41</v>
      </c>
    </row>
    <row r="61" spans="1:7" x14ac:dyDescent="0.35">
      <c r="F61" s="3" t="s">
        <v>8</v>
      </c>
      <c r="G61" s="3">
        <v>27</v>
      </c>
    </row>
    <row r="62" spans="1:7" x14ac:dyDescent="0.35">
      <c r="F62" s="3" t="s">
        <v>9</v>
      </c>
      <c r="G62" s="3">
        <v>17</v>
      </c>
    </row>
    <row r="63" spans="1:7" x14ac:dyDescent="0.35">
      <c r="F63" s="3" t="s">
        <v>21</v>
      </c>
      <c r="G63" s="3">
        <f>SUM(G55:G62)</f>
        <v>252</v>
      </c>
    </row>
    <row r="68" spans="4:7" x14ac:dyDescent="0.35">
      <c r="D68" s="3" t="s">
        <v>0</v>
      </c>
      <c r="E68" s="4" t="s">
        <v>18</v>
      </c>
      <c r="F68" s="3" t="s">
        <v>16</v>
      </c>
      <c r="G68" s="3" t="s">
        <v>17</v>
      </c>
    </row>
    <row r="69" spans="4:7" x14ac:dyDescent="0.35">
      <c r="D69" s="3" t="s">
        <v>2</v>
      </c>
      <c r="E69" s="5">
        <f>F69/$G$76</f>
        <v>2.7777777777777776E-2</v>
      </c>
      <c r="F69" s="3">
        <v>7</v>
      </c>
      <c r="G69" s="3">
        <f>F69</f>
        <v>7</v>
      </c>
    </row>
    <row r="70" spans="4:7" x14ac:dyDescent="0.35">
      <c r="D70" s="3" t="s">
        <v>3</v>
      </c>
      <c r="E70" s="5">
        <f t="shared" ref="E70:E75" si="0">F70/$G$76</f>
        <v>8.3333333333333329E-2</v>
      </c>
      <c r="F70" s="3">
        <v>21</v>
      </c>
      <c r="G70" s="3">
        <f t="shared" ref="G70:G76" si="1">G69+F70</f>
        <v>28</v>
      </c>
    </row>
    <row r="71" spans="4:7" x14ac:dyDescent="0.35">
      <c r="D71" s="3" t="s">
        <v>4</v>
      </c>
      <c r="E71" s="5">
        <f t="shared" si="0"/>
        <v>0.12698412698412698</v>
      </c>
      <c r="F71" s="3">
        <v>32</v>
      </c>
      <c r="G71" s="3">
        <f t="shared" si="1"/>
        <v>60</v>
      </c>
    </row>
    <row r="72" spans="4:7" x14ac:dyDescent="0.35">
      <c r="D72" s="3" t="s">
        <v>5</v>
      </c>
      <c r="E72" s="5">
        <f t="shared" si="0"/>
        <v>0.19444444444444445</v>
      </c>
      <c r="F72" s="3">
        <v>49</v>
      </c>
      <c r="G72" s="3">
        <f t="shared" si="1"/>
        <v>109</v>
      </c>
    </row>
    <row r="73" spans="4:7" x14ac:dyDescent="0.35">
      <c r="D73" s="3" t="s">
        <v>6</v>
      </c>
      <c r="E73" s="5">
        <f t="shared" si="0"/>
        <v>0.23015873015873015</v>
      </c>
      <c r="F73" s="3">
        <v>58</v>
      </c>
      <c r="G73" s="3">
        <f t="shared" si="1"/>
        <v>167</v>
      </c>
    </row>
    <row r="74" spans="4:7" x14ac:dyDescent="0.35">
      <c r="D74" s="3" t="s">
        <v>7</v>
      </c>
      <c r="E74" s="5">
        <f t="shared" si="0"/>
        <v>0.1626984126984127</v>
      </c>
      <c r="F74" s="3">
        <v>41</v>
      </c>
      <c r="G74" s="3">
        <f t="shared" si="1"/>
        <v>208</v>
      </c>
    </row>
    <row r="75" spans="4:7" x14ac:dyDescent="0.35">
      <c r="D75" s="3" t="s">
        <v>8</v>
      </c>
      <c r="E75" s="5">
        <f t="shared" si="0"/>
        <v>0.10714285714285714</v>
      </c>
      <c r="F75" s="3">
        <v>27</v>
      </c>
      <c r="G75" s="3">
        <f t="shared" si="1"/>
        <v>235</v>
      </c>
    </row>
    <row r="76" spans="4:7" x14ac:dyDescent="0.35">
      <c r="D76" s="3" t="s">
        <v>9</v>
      </c>
      <c r="E76" s="5">
        <f>F76/$G$76</f>
        <v>6.7460317460317457E-2</v>
      </c>
      <c r="F76" s="3">
        <v>17</v>
      </c>
      <c r="G76" s="3">
        <f t="shared" si="1"/>
        <v>252</v>
      </c>
    </row>
    <row r="77" spans="4:7" x14ac:dyDescent="0.35">
      <c r="D77" s="3" t="s">
        <v>21</v>
      </c>
      <c r="E77" s="4">
        <f>SUM(E69:E76)</f>
        <v>0.99999999999999989</v>
      </c>
      <c r="F77" s="3"/>
      <c r="G77" s="3"/>
    </row>
    <row r="85" spans="1:10" x14ac:dyDescent="0.35">
      <c r="A85" t="s">
        <v>22</v>
      </c>
      <c r="B85" s="2" t="s">
        <v>23</v>
      </c>
    </row>
    <row r="87" spans="1:10" x14ac:dyDescent="0.35">
      <c r="G87" s="3" t="s">
        <v>14</v>
      </c>
      <c r="H87" s="4" t="s">
        <v>18</v>
      </c>
      <c r="I87" s="3" t="s">
        <v>16</v>
      </c>
      <c r="J87" s="3" t="s">
        <v>17</v>
      </c>
    </row>
    <row r="88" spans="1:10" x14ac:dyDescent="0.35">
      <c r="G88" s="3">
        <v>1025.5</v>
      </c>
      <c r="H88" s="5">
        <f>I88/$J$95</f>
        <v>2.7777777777777776E-2</v>
      </c>
      <c r="I88" s="3">
        <v>7</v>
      </c>
      <c r="J88" s="3">
        <f>I88</f>
        <v>7</v>
      </c>
    </row>
    <row r="89" spans="1:10" x14ac:dyDescent="0.35">
      <c r="G89" s="3">
        <v>1075.5</v>
      </c>
      <c r="H89" s="5">
        <f t="shared" ref="H89:H94" si="2">I89/$J$95</f>
        <v>8.3333333333333329E-2</v>
      </c>
      <c r="I89" s="3">
        <v>21</v>
      </c>
      <c r="J89" s="3">
        <f t="shared" ref="J89:J95" si="3">J88+I89</f>
        <v>28</v>
      </c>
    </row>
    <row r="90" spans="1:10" x14ac:dyDescent="0.35">
      <c r="G90" s="3">
        <v>1125.5</v>
      </c>
      <c r="H90" s="5">
        <f t="shared" si="2"/>
        <v>0.12698412698412698</v>
      </c>
      <c r="I90" s="3">
        <v>32</v>
      </c>
      <c r="J90" s="3">
        <f t="shared" si="3"/>
        <v>60</v>
      </c>
    </row>
    <row r="91" spans="1:10" x14ac:dyDescent="0.35">
      <c r="G91" s="3">
        <v>1175.5</v>
      </c>
      <c r="H91" s="5">
        <f t="shared" si="2"/>
        <v>0.19444444444444445</v>
      </c>
      <c r="I91" s="3">
        <v>49</v>
      </c>
      <c r="J91" s="3">
        <f t="shared" si="3"/>
        <v>109</v>
      </c>
    </row>
    <row r="92" spans="1:10" x14ac:dyDescent="0.35">
      <c r="G92" s="3">
        <v>1225.5</v>
      </c>
      <c r="H92" s="5">
        <f t="shared" si="2"/>
        <v>0.23015873015873015</v>
      </c>
      <c r="I92" s="3">
        <v>58</v>
      </c>
      <c r="J92" s="3">
        <f t="shared" si="3"/>
        <v>167</v>
      </c>
    </row>
    <row r="93" spans="1:10" x14ac:dyDescent="0.35">
      <c r="G93" s="3">
        <v>1275.5</v>
      </c>
      <c r="H93" s="5">
        <f t="shared" si="2"/>
        <v>0.1626984126984127</v>
      </c>
      <c r="I93" s="3">
        <v>41</v>
      </c>
      <c r="J93" s="3">
        <f t="shared" si="3"/>
        <v>208</v>
      </c>
    </row>
    <row r="94" spans="1:10" x14ac:dyDescent="0.35">
      <c r="G94" s="3">
        <v>1325.5</v>
      </c>
      <c r="H94" s="5">
        <f t="shared" si="2"/>
        <v>0.10714285714285714</v>
      </c>
      <c r="I94" s="3">
        <v>27</v>
      </c>
      <c r="J94" s="3">
        <f t="shared" si="3"/>
        <v>235</v>
      </c>
    </row>
    <row r="95" spans="1:10" x14ac:dyDescent="0.35">
      <c r="G95" s="3">
        <v>1375.5</v>
      </c>
      <c r="H95" s="5">
        <f>I95/$J$95</f>
        <v>6.7460317460317457E-2</v>
      </c>
      <c r="I95" s="3">
        <v>17</v>
      </c>
      <c r="J95" s="3">
        <f t="shared" si="3"/>
        <v>252</v>
      </c>
    </row>
    <row r="108" spans="1:7" x14ac:dyDescent="0.35">
      <c r="A108" t="s">
        <v>24</v>
      </c>
      <c r="B108" s="2" t="s">
        <v>25</v>
      </c>
    </row>
    <row r="111" spans="1:7" x14ac:dyDescent="0.35">
      <c r="F111" s="3" t="s">
        <v>0</v>
      </c>
      <c r="G111" s="3" t="s">
        <v>1</v>
      </c>
    </row>
    <row r="112" spans="1:7" x14ac:dyDescent="0.35">
      <c r="F112" s="3" t="s">
        <v>2</v>
      </c>
      <c r="G112" s="3">
        <v>7</v>
      </c>
    </row>
    <row r="113" spans="6:10" x14ac:dyDescent="0.35">
      <c r="F113" s="3" t="s">
        <v>3</v>
      </c>
      <c r="G113" s="3">
        <v>21</v>
      </c>
    </row>
    <row r="114" spans="6:10" x14ac:dyDescent="0.35">
      <c r="F114" s="3" t="s">
        <v>4</v>
      </c>
      <c r="G114" s="3">
        <v>32</v>
      </c>
    </row>
    <row r="115" spans="6:10" x14ac:dyDescent="0.35">
      <c r="F115" s="3" t="s">
        <v>5</v>
      </c>
      <c r="G115" s="3">
        <v>49</v>
      </c>
    </row>
    <row r="116" spans="6:10" x14ac:dyDescent="0.35">
      <c r="F116" s="3" t="s">
        <v>6</v>
      </c>
      <c r="G116" s="3">
        <v>58</v>
      </c>
    </row>
    <row r="117" spans="6:10" x14ac:dyDescent="0.35">
      <c r="F117" s="3" t="s">
        <v>7</v>
      </c>
      <c r="G117" s="3">
        <v>41</v>
      </c>
    </row>
    <row r="118" spans="6:10" x14ac:dyDescent="0.35">
      <c r="F118" s="3" t="s">
        <v>8</v>
      </c>
      <c r="G118" s="3">
        <v>27</v>
      </c>
    </row>
    <row r="119" spans="6:10" x14ac:dyDescent="0.35">
      <c r="F119" s="3" t="s">
        <v>9</v>
      </c>
      <c r="G119" s="3">
        <v>17</v>
      </c>
    </row>
    <row r="123" spans="6:10" x14ac:dyDescent="0.35">
      <c r="F123" s="3" t="s">
        <v>26</v>
      </c>
      <c r="G123" s="3" t="s">
        <v>1</v>
      </c>
      <c r="H123" s="3" t="s">
        <v>27</v>
      </c>
      <c r="I123" s="3" t="s">
        <v>28</v>
      </c>
      <c r="J123" s="3" t="s">
        <v>29</v>
      </c>
    </row>
    <row r="124" spans="6:10" x14ac:dyDescent="0.35">
      <c r="F124" s="3" t="s">
        <v>2</v>
      </c>
      <c r="G124" s="3">
        <v>7</v>
      </c>
      <c r="H124" s="3">
        <v>1001</v>
      </c>
      <c r="I124" s="3">
        <f>G124</f>
        <v>7</v>
      </c>
      <c r="J124" s="3">
        <f>I124/$I$131</f>
        <v>2.7777777777777776E-2</v>
      </c>
    </row>
    <row r="125" spans="6:10" x14ac:dyDescent="0.35">
      <c r="F125" s="3" t="s">
        <v>3</v>
      </c>
      <c r="G125" s="3">
        <v>21</v>
      </c>
      <c r="H125" s="3">
        <v>1051</v>
      </c>
      <c r="I125" s="3">
        <f t="shared" ref="I125:I131" si="4">I124+G125</f>
        <v>28</v>
      </c>
      <c r="J125" s="3">
        <f t="shared" ref="J125:J131" si="5">I125/$I$131</f>
        <v>0.1111111111111111</v>
      </c>
    </row>
    <row r="126" spans="6:10" x14ac:dyDescent="0.35">
      <c r="F126" s="3" t="s">
        <v>4</v>
      </c>
      <c r="G126" s="3">
        <v>32</v>
      </c>
      <c r="H126" s="3">
        <v>1101</v>
      </c>
      <c r="I126" s="3">
        <f t="shared" si="4"/>
        <v>60</v>
      </c>
      <c r="J126" s="3">
        <f t="shared" si="5"/>
        <v>0.23809523809523808</v>
      </c>
    </row>
    <row r="127" spans="6:10" x14ac:dyDescent="0.35">
      <c r="F127" s="3" t="s">
        <v>5</v>
      </c>
      <c r="G127" s="3">
        <v>49</v>
      </c>
      <c r="H127" s="3">
        <v>1151</v>
      </c>
      <c r="I127" s="3">
        <f t="shared" si="4"/>
        <v>109</v>
      </c>
      <c r="J127" s="3">
        <f t="shared" si="5"/>
        <v>0.43253968253968256</v>
      </c>
    </row>
    <row r="128" spans="6:10" x14ac:dyDescent="0.35">
      <c r="F128" s="3" t="s">
        <v>6</v>
      </c>
      <c r="G128" s="3">
        <v>58</v>
      </c>
      <c r="H128" s="3">
        <v>1201</v>
      </c>
      <c r="I128" s="3">
        <f t="shared" si="4"/>
        <v>167</v>
      </c>
      <c r="J128" s="3">
        <f t="shared" si="5"/>
        <v>0.66269841269841268</v>
      </c>
    </row>
    <row r="129" spans="6:10" x14ac:dyDescent="0.35">
      <c r="F129" s="3" t="s">
        <v>7</v>
      </c>
      <c r="G129" s="3">
        <v>41</v>
      </c>
      <c r="H129" s="3">
        <v>1251</v>
      </c>
      <c r="I129" s="3">
        <f t="shared" si="4"/>
        <v>208</v>
      </c>
      <c r="J129" s="3">
        <f t="shared" si="5"/>
        <v>0.82539682539682535</v>
      </c>
    </row>
    <row r="130" spans="6:10" x14ac:dyDescent="0.35">
      <c r="F130" s="3" t="s">
        <v>8</v>
      </c>
      <c r="G130" s="3">
        <v>27</v>
      </c>
      <c r="H130" s="3">
        <v>1301</v>
      </c>
      <c r="I130" s="3">
        <f t="shared" si="4"/>
        <v>235</v>
      </c>
      <c r="J130" s="3">
        <f t="shared" si="5"/>
        <v>0.93253968253968256</v>
      </c>
    </row>
    <row r="131" spans="6:10" x14ac:dyDescent="0.35">
      <c r="F131" s="3" t="s">
        <v>9</v>
      </c>
      <c r="G131" s="3">
        <v>17</v>
      </c>
      <c r="H131" s="3">
        <v>1351</v>
      </c>
      <c r="I131" s="3">
        <f t="shared" si="4"/>
        <v>252</v>
      </c>
      <c r="J131" s="3">
        <f t="shared" si="5"/>
        <v>1</v>
      </c>
    </row>
    <row r="152" spans="6:10" x14ac:dyDescent="0.35">
      <c r="F152" s="3" t="s">
        <v>26</v>
      </c>
      <c r="G152" s="3" t="s">
        <v>1</v>
      </c>
      <c r="H152" s="3" t="s">
        <v>27</v>
      </c>
      <c r="I152" s="3" t="s">
        <v>29</v>
      </c>
      <c r="J152" s="3" t="s">
        <v>30</v>
      </c>
    </row>
    <row r="153" spans="6:10" x14ac:dyDescent="0.35">
      <c r="F153" s="3" t="s">
        <v>2</v>
      </c>
      <c r="G153" s="3">
        <v>7</v>
      </c>
      <c r="H153" s="3">
        <v>1001</v>
      </c>
      <c r="I153" s="3">
        <f>J153/$J$160</f>
        <v>2.7777777777777776E-2</v>
      </c>
      <c r="J153" s="3">
        <f>G153</f>
        <v>7</v>
      </c>
    </row>
    <row r="154" spans="6:10" x14ac:dyDescent="0.35">
      <c r="F154" s="3" t="s">
        <v>3</v>
      </c>
      <c r="G154" s="3">
        <v>21</v>
      </c>
      <c r="H154" s="3">
        <v>1051</v>
      </c>
      <c r="I154" s="3">
        <f t="shared" ref="I154:I160" si="6">J154/$J$160</f>
        <v>0.1111111111111111</v>
      </c>
      <c r="J154" s="3">
        <f>J153+G154</f>
        <v>28</v>
      </c>
    </row>
    <row r="155" spans="6:10" x14ac:dyDescent="0.35">
      <c r="F155" s="3" t="s">
        <v>4</v>
      </c>
      <c r="G155" s="3">
        <v>32</v>
      </c>
      <c r="H155" s="3">
        <v>1101</v>
      </c>
      <c r="I155" s="3">
        <f t="shared" si="6"/>
        <v>0.23809523809523808</v>
      </c>
      <c r="J155" s="3">
        <f t="shared" ref="J155:J160" si="7">J154+G155</f>
        <v>60</v>
      </c>
    </row>
    <row r="156" spans="6:10" x14ac:dyDescent="0.35">
      <c r="F156" s="3" t="s">
        <v>5</v>
      </c>
      <c r="G156" s="3">
        <v>49</v>
      </c>
      <c r="H156" s="3">
        <v>1151</v>
      </c>
      <c r="I156" s="3">
        <f t="shared" si="6"/>
        <v>0.43253968253968256</v>
      </c>
      <c r="J156" s="3">
        <f t="shared" si="7"/>
        <v>109</v>
      </c>
    </row>
    <row r="157" spans="6:10" x14ac:dyDescent="0.35">
      <c r="F157" s="3" t="s">
        <v>6</v>
      </c>
      <c r="G157" s="3">
        <v>58</v>
      </c>
      <c r="H157" s="3">
        <v>1201</v>
      </c>
      <c r="I157" s="3">
        <f t="shared" si="6"/>
        <v>0.66269841269841268</v>
      </c>
      <c r="J157" s="3">
        <f t="shared" si="7"/>
        <v>167</v>
      </c>
    </row>
    <row r="158" spans="6:10" x14ac:dyDescent="0.35">
      <c r="F158" s="3" t="s">
        <v>7</v>
      </c>
      <c r="G158" s="3">
        <v>41</v>
      </c>
      <c r="H158" s="3">
        <v>1251</v>
      </c>
      <c r="I158" s="3">
        <f t="shared" si="6"/>
        <v>0.82539682539682535</v>
      </c>
      <c r="J158" s="3">
        <f t="shared" si="7"/>
        <v>208</v>
      </c>
    </row>
    <row r="159" spans="6:10" x14ac:dyDescent="0.35">
      <c r="F159" s="3" t="s">
        <v>8</v>
      </c>
      <c r="G159" s="3">
        <v>27</v>
      </c>
      <c r="H159" s="3">
        <v>1301</v>
      </c>
      <c r="I159" s="3">
        <f t="shared" si="6"/>
        <v>0.93253968253968256</v>
      </c>
      <c r="J159" s="3">
        <f t="shared" si="7"/>
        <v>235</v>
      </c>
    </row>
    <row r="160" spans="6:10" x14ac:dyDescent="0.35">
      <c r="F160" s="3" t="s">
        <v>9</v>
      </c>
      <c r="G160" s="3">
        <v>17</v>
      </c>
      <c r="H160" s="3">
        <v>1351</v>
      </c>
      <c r="I160" s="3">
        <f t="shared" si="6"/>
        <v>1</v>
      </c>
      <c r="J160" s="3">
        <f t="shared" si="7"/>
        <v>252</v>
      </c>
    </row>
    <row r="181" spans="4:6" x14ac:dyDescent="0.35">
      <c r="D181" s="2" t="s">
        <v>32</v>
      </c>
    </row>
    <row r="183" spans="4:6" x14ac:dyDescent="0.35">
      <c r="E183" s="11"/>
      <c r="F183" s="11"/>
    </row>
    <row r="184" spans="4:6" x14ac:dyDescent="0.35">
      <c r="E184" s="11"/>
      <c r="F184" s="11"/>
    </row>
    <row r="185" spans="4:6" x14ac:dyDescent="0.35">
      <c r="E185" s="11"/>
      <c r="F185" s="11"/>
    </row>
    <row r="186" spans="4:6" x14ac:dyDescent="0.35">
      <c r="E186" s="11"/>
      <c r="F186" s="11"/>
    </row>
    <row r="187" spans="4:6" x14ac:dyDescent="0.35">
      <c r="E187" s="11"/>
      <c r="F187" s="11"/>
    </row>
    <row r="188" spans="4:6" x14ac:dyDescent="0.35">
      <c r="E188" s="11"/>
      <c r="F188" s="11"/>
    </row>
    <row r="189" spans="4:6" x14ac:dyDescent="0.35">
      <c r="E189" s="11"/>
      <c r="F189" s="11"/>
    </row>
    <row r="190" spans="4:6" x14ac:dyDescent="0.35">
      <c r="E190" s="11"/>
      <c r="F190" s="11"/>
    </row>
    <row r="191" spans="4:6" x14ac:dyDescent="0.35">
      <c r="E191" s="11"/>
      <c r="F191" s="11"/>
    </row>
    <row r="203" spans="4:6" x14ac:dyDescent="0.35">
      <c r="D203" s="2" t="s">
        <v>32</v>
      </c>
    </row>
    <row r="205" spans="4:6" x14ac:dyDescent="0.35">
      <c r="E205" s="10"/>
      <c r="F205" s="10"/>
    </row>
    <row r="206" spans="4:6" x14ac:dyDescent="0.35">
      <c r="E206" s="10"/>
      <c r="F206" s="10"/>
    </row>
    <row r="207" spans="4:6" x14ac:dyDescent="0.35">
      <c r="E207" s="10"/>
      <c r="F207" s="10"/>
    </row>
    <row r="208" spans="4:6" x14ac:dyDescent="0.35">
      <c r="E208" s="10"/>
      <c r="F208" s="10"/>
    </row>
    <row r="209" spans="5:6" x14ac:dyDescent="0.35">
      <c r="E209" s="10"/>
      <c r="F209" s="10"/>
    </row>
    <row r="210" spans="5:6" x14ac:dyDescent="0.35">
      <c r="E210" s="10"/>
      <c r="F210" s="10"/>
    </row>
    <row r="211" spans="5:6" x14ac:dyDescent="0.35">
      <c r="E211" s="10"/>
      <c r="F211" s="10"/>
    </row>
    <row r="212" spans="5:6" x14ac:dyDescent="0.35">
      <c r="E212" s="10"/>
      <c r="F212" s="10"/>
    </row>
    <row r="213" spans="5:6" x14ac:dyDescent="0.35">
      <c r="E213" s="10"/>
      <c r="F213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Ibrahim Khan</cp:lastModifiedBy>
  <dcterms:created xsi:type="dcterms:W3CDTF">2026-02-26T19:22:41Z</dcterms:created>
  <dcterms:modified xsi:type="dcterms:W3CDTF">2026-03-08T11:39:30Z</dcterms:modified>
</cp:coreProperties>
</file>