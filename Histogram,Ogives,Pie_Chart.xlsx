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Ibrahim\OneDrive\Desktop\Maths hons semester -1 notes study recknor\PROJECTS\SEM-1\sem-1 Practical\"/>
    </mc:Choice>
  </mc:AlternateContent>
  <xr:revisionPtr revIDLastSave="0" documentId="13_ncr:1_{51C58A7F-C23C-4B2E-9262-CB62D5290F34}" xr6:coauthVersionLast="47" xr6:coauthVersionMax="47" xr10:uidLastSave="{00000000-0000-0000-0000-000000000000}"/>
  <bookViews>
    <workbookView xWindow="-110" yWindow="-110" windowWidth="19420" windowHeight="10420" xr2:uid="{917244C8-3A17-4380-A3F1-9AB4E52A3AC7}"/>
  </bookViews>
  <sheets>
    <sheet name="HISTOGRAM" sheetId="5" r:id="rId1"/>
    <sheet name="Pie Chart" sheetId="2" r:id="rId2"/>
    <sheet name="OGIVE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5" l="1" a="1"/>
  <c r="B15" i="5"/>
  <c r="E68" i="5" l="1"/>
  <c r="E67" i="5"/>
  <c r="E66" i="5"/>
  <c r="E65" i="5"/>
  <c r="E64" i="5"/>
  <c r="E63" i="5"/>
  <c r="B68" i="5"/>
  <c r="D65" i="5"/>
  <c r="D66" i="5"/>
  <c r="D67" i="5"/>
  <c r="D64" i="5"/>
  <c r="D63" i="5"/>
  <c r="B54" i="5"/>
  <c r="D49" i="5"/>
  <c r="D50" i="5" s="1"/>
  <c r="D51" i="5" s="1"/>
  <c r="D52" i="5" s="1"/>
  <c r="D53" i="5" s="1"/>
  <c r="D48" i="5"/>
  <c r="D28" i="5"/>
  <c r="D29" i="5" s="1"/>
  <c r="D30" i="5" s="1"/>
  <c r="D27" i="5"/>
  <c r="D26" i="5"/>
  <c r="B31" i="5" a="1"/>
  <c r="B31" i="5"/>
  <c r="E9" i="5"/>
  <c r="D9" i="5"/>
  <c r="D10" i="5" s="1"/>
  <c r="D11" i="5" s="1"/>
  <c r="D12" i="5" s="1"/>
  <c r="D13" i="5" s="1"/>
  <c r="D14" i="5" s="1"/>
  <c r="B51" i="4"/>
  <c r="F62" i="4"/>
  <c r="F63" i="4" s="1"/>
  <c r="F64" i="4" s="1"/>
  <c r="F65" i="4" s="1"/>
  <c r="F66" i="4" s="1"/>
  <c r="B67" i="4"/>
  <c r="F48" i="4" a="1"/>
  <c r="F48" i="4"/>
  <c r="F49" i="4" a="1"/>
  <c r="F49" i="4"/>
  <c r="F50" i="4" a="1"/>
  <c r="F50" i="4"/>
  <c r="F47" i="4" a="1"/>
  <c r="F47" i="4"/>
  <c r="F46" i="4"/>
  <c r="G28" i="4"/>
  <c r="G29" i="4"/>
  <c r="G30" i="4"/>
  <c r="G31" i="4"/>
  <c r="G27" i="4"/>
  <c r="F29" i="4" a="1"/>
  <c r="F29" i="4"/>
  <c r="F30" i="4" a="1"/>
  <c r="F30" i="4"/>
  <c r="F31" i="4" a="1"/>
  <c r="F31" i="4"/>
  <c r="F28" i="4" a="1"/>
  <c r="F28" i="4"/>
  <c r="F27" i="4"/>
  <c r="C32" i="4"/>
  <c r="C31" i="4"/>
  <c r="C30" i="4"/>
  <c r="C29" i="4"/>
  <c r="C28" i="4"/>
  <c r="C27" i="4"/>
  <c r="B32" i="4"/>
  <c r="F7" i="4"/>
  <c r="F8" i="4" a="1"/>
  <c r="F8" i="4"/>
  <c r="B14" i="4" a="1"/>
  <c r="B14" i="4"/>
  <c r="C7" i="4" s="1" a="1"/>
  <c r="C7" i="4" s="1"/>
  <c r="F9" i="4"/>
  <c r="F10" i="4"/>
  <c r="F11" i="4"/>
  <c r="F12" i="4"/>
  <c r="F13" i="4"/>
  <c r="G7" i="4" s="1" a="1"/>
  <c r="G7" i="4" s="1"/>
  <c r="E54" i="5" l="1"/>
  <c r="E53" i="5"/>
  <c r="E52" i="5"/>
  <c r="E51" i="5"/>
  <c r="E50" i="5"/>
  <c r="E49" i="5"/>
  <c r="E48" i="5"/>
  <c r="E31" i="5"/>
  <c r="E30" i="5"/>
  <c r="E29" i="5"/>
  <c r="E28" i="5"/>
  <c r="E27" i="5"/>
  <c r="E26" i="5"/>
  <c r="E15" i="5"/>
  <c r="E14" i="5"/>
  <c r="E13" i="5"/>
  <c r="E12" i="5"/>
  <c r="E11" i="5"/>
  <c r="E10" i="5"/>
  <c r="C67" i="4"/>
  <c r="C66" i="4"/>
  <c r="C65" i="4"/>
  <c r="C64" i="4"/>
  <c r="C63" i="4"/>
  <c r="C62" i="4"/>
  <c r="G66" i="4"/>
  <c r="G65" i="4"/>
  <c r="G64" i="4"/>
  <c r="G63" i="4"/>
  <c r="G62" i="4"/>
  <c r="C51" i="4"/>
  <c r="C50" i="4"/>
  <c r="C49" i="4"/>
  <c r="C48" i="4"/>
  <c r="C47" i="4"/>
  <c r="C46" i="4"/>
  <c r="G50" i="4"/>
  <c r="G49" i="4"/>
  <c r="G48" i="4"/>
  <c r="G47" i="4"/>
  <c r="G46" i="4"/>
  <c r="G13" i="4"/>
  <c r="G12" i="4"/>
  <c r="G11" i="4"/>
  <c r="G10" i="4"/>
  <c r="G9" i="4"/>
  <c r="G8" i="4"/>
  <c r="C14" i="4"/>
  <c r="C13" i="4"/>
  <c r="C12" i="4"/>
  <c r="C11" i="4"/>
  <c r="C10" i="4"/>
  <c r="C9" i="4"/>
  <c r="C8" i="4"/>
</calcChain>
</file>

<file path=xl/sharedStrings.xml><?xml version="1.0" encoding="utf-8"?>
<sst xmlns="http://schemas.openxmlformats.org/spreadsheetml/2006/main" count="153" uniqueCount="117">
  <si>
    <t>December</t>
  </si>
  <si>
    <t>November</t>
  </si>
  <si>
    <t>October</t>
  </si>
  <si>
    <t>September</t>
  </si>
  <si>
    <t>August</t>
  </si>
  <si>
    <t>Saturday</t>
  </si>
  <si>
    <t>July</t>
  </si>
  <si>
    <t>Friday</t>
  </si>
  <si>
    <t>June</t>
  </si>
  <si>
    <t>Thursday</t>
  </si>
  <si>
    <t>May</t>
  </si>
  <si>
    <t>Wednesday</t>
  </si>
  <si>
    <t>April</t>
  </si>
  <si>
    <t>Tuesday</t>
  </si>
  <si>
    <t>March</t>
  </si>
  <si>
    <t>Monday</t>
  </si>
  <si>
    <t>February</t>
  </si>
  <si>
    <t>Sunday</t>
  </si>
  <si>
    <t>January</t>
  </si>
  <si>
    <t>COFFEE</t>
  </si>
  <si>
    <t>REPORT</t>
  </si>
  <si>
    <t>WEEKS</t>
  </si>
  <si>
    <t>SALES</t>
  </si>
  <si>
    <t>MONTH</t>
  </si>
  <si>
    <t>CUMMULATIVE FREQUENCY</t>
  </si>
  <si>
    <t>FREQUENCY</t>
  </si>
  <si>
    <t>CLASS</t>
  </si>
  <si>
    <t>PRICE IN DOLLAR</t>
  </si>
  <si>
    <t>CAPPUCCINO</t>
  </si>
  <si>
    <t>LATTE</t>
  </si>
  <si>
    <t>FLAT WHITE</t>
  </si>
  <si>
    <t>CAFFFE MACCHIATO</t>
  </si>
  <si>
    <t>MOCHA</t>
  </si>
  <si>
    <t>COLD BREW</t>
  </si>
  <si>
    <t>AMERICANO</t>
  </si>
  <si>
    <t>FRAPPE</t>
  </si>
  <si>
    <t>DOPPIO</t>
  </si>
  <si>
    <t>BREVE</t>
  </si>
  <si>
    <t>LUNGO</t>
  </si>
  <si>
    <t xml:space="preserve">FIRST </t>
  </si>
  <si>
    <t>SECOND</t>
  </si>
  <si>
    <t>THIRD</t>
  </si>
  <si>
    <t>FOURTH</t>
  </si>
  <si>
    <t>FIFTH</t>
  </si>
  <si>
    <t>SIXTH</t>
  </si>
  <si>
    <t>SEVENTH</t>
  </si>
  <si>
    <t>EIGHTH</t>
  </si>
  <si>
    <t>NINTH</t>
  </si>
  <si>
    <t>HIGH SCHOOL</t>
  </si>
  <si>
    <t>INTERMEDIATE</t>
  </si>
  <si>
    <t xml:space="preserve">ATTENDENCE </t>
  </si>
  <si>
    <t xml:space="preserve">   OGIVES</t>
  </si>
  <si>
    <t xml:space="preserve">EXAMPLE -1 </t>
  </si>
  <si>
    <t xml:space="preserve">CLASS INTERVAL </t>
  </si>
  <si>
    <t>17-22</t>
  </si>
  <si>
    <t>23-28</t>
  </si>
  <si>
    <t>29-34</t>
  </si>
  <si>
    <t>35-40</t>
  </si>
  <si>
    <t>41-46</t>
  </si>
  <si>
    <t xml:space="preserve">FREQUENCY </t>
  </si>
  <si>
    <t>RELATIVE FREQUENCY</t>
  </si>
  <si>
    <t>CLASS MID</t>
  </si>
  <si>
    <t xml:space="preserve"> 11-16</t>
  </si>
  <si>
    <t xml:space="preserve"> 5-10</t>
  </si>
  <si>
    <t>CUMMULATIVE FREQUENCY PERCENT</t>
  </si>
  <si>
    <t>UPPER  BOUND</t>
  </si>
  <si>
    <t>EXAMPLE -2</t>
  </si>
  <si>
    <t>21-23</t>
  </si>
  <si>
    <t>24-26</t>
  </si>
  <si>
    <t>27-29</t>
  </si>
  <si>
    <t>30-32</t>
  </si>
  <si>
    <t>33-35</t>
  </si>
  <si>
    <t>UPPER BOUND</t>
  </si>
  <si>
    <t>EXAMPLE -3</t>
  </si>
  <si>
    <t>CLASS INTERVAL</t>
  </si>
  <si>
    <t>150-155</t>
  </si>
  <si>
    <t>156-161</t>
  </si>
  <si>
    <t>162-167</t>
  </si>
  <si>
    <t>168-173</t>
  </si>
  <si>
    <t>174-179</t>
  </si>
  <si>
    <t>EXAMPLE-4</t>
  </si>
  <si>
    <t>182-184</t>
  </si>
  <si>
    <t>185-187</t>
  </si>
  <si>
    <t>188-190</t>
  </si>
  <si>
    <t>191-193</t>
  </si>
  <si>
    <t>194-196</t>
  </si>
  <si>
    <t>HISTOGRAM</t>
  </si>
  <si>
    <t>EXAMPLE-1</t>
  </si>
  <si>
    <t>13-15</t>
  </si>
  <si>
    <t>16-18</t>
  </si>
  <si>
    <t>19-21</t>
  </si>
  <si>
    <t>22-24</t>
  </si>
  <si>
    <t>25-27</t>
  </si>
  <si>
    <t>28-30</t>
  </si>
  <si>
    <t xml:space="preserve">UPPER BOUND </t>
  </si>
  <si>
    <t xml:space="preserve"> EXAMPLE-2</t>
  </si>
  <si>
    <t xml:space="preserve">CUMMULATIVE FREQUENCY </t>
  </si>
  <si>
    <t>20-25</t>
  </si>
  <si>
    <t>26-31</t>
  </si>
  <si>
    <t>32-37</t>
  </si>
  <si>
    <t>38-43</t>
  </si>
  <si>
    <t>44-49</t>
  </si>
  <si>
    <t>EXAMPLE-3</t>
  </si>
  <si>
    <t>50-60</t>
  </si>
  <si>
    <t>61-71</t>
  </si>
  <si>
    <t>72-82</t>
  </si>
  <si>
    <t>83-93</t>
  </si>
  <si>
    <t>94-104</t>
  </si>
  <si>
    <t>104-114</t>
  </si>
  <si>
    <t xml:space="preserve"> FREQUENCY</t>
  </si>
  <si>
    <t>100-120</t>
  </si>
  <si>
    <t>121-141</t>
  </si>
  <si>
    <t>142-162</t>
  </si>
  <si>
    <t>163-183</t>
  </si>
  <si>
    <t>184-204</t>
  </si>
  <si>
    <t>PIE CHART</t>
  </si>
  <si>
    <t>CUMULATIVE 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</si>
</sst>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6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48"/>
      <name val="Calibri"/>
      <family val="2"/>
      <scheme val="minor"/>
    </font>
    <font>
      <b/>
      <sz val="4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16" fontId="0" fillId="0" borderId="0" xfId="0" applyNumberFormat="1"/>
    <xf numFmtId="16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/>
    <xf numFmtId="16" fontId="1" fillId="0" borderId="1" xfId="0" applyNumberFormat="1" applyFont="1" applyBorder="1"/>
    <xf numFmtId="9" fontId="1" fillId="0" borderId="1" xfId="1" applyFont="1" applyBorder="1"/>
    <xf numFmtId="6" fontId="1" fillId="0" borderId="1" xfId="0" applyNumberFormat="1" applyFont="1" applyBorder="1"/>
    <xf numFmtId="0" fontId="4" fillId="3" borderId="0" xfId="0" applyFont="1" applyFill="1"/>
    <xf numFmtId="0" fontId="5" fillId="3" borderId="0" xfId="0" applyFont="1" applyFill="1"/>
    <xf numFmtId="16" fontId="1" fillId="0" borderId="0" xfId="0" applyNumberFormat="1" applyFont="1"/>
    <xf numFmtId="16" fontId="1" fillId="0" borderId="1" xfId="0" applyNumberFormat="1" applyFont="1" applyBorder="1" applyAlignment="1">
      <alignment wrapText="1"/>
    </xf>
    <xf numFmtId="0" fontId="4" fillId="2" borderId="0" xfId="0" applyFont="1" applyFill="1"/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HISTOGRAM</a:t>
            </a:r>
          </a:p>
        </c:rich>
      </c:tx>
      <c:overlay val="0"/>
      <c:spPr>
        <a:solidFill>
          <a:schemeClr val="bg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HISTOGRAM!$B$8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HISTOGRAM!$A$9:$A$14</c:f>
              <c:strCache>
                <c:ptCount val="6"/>
                <c:pt idx="0">
                  <c:v>13-15</c:v>
                </c:pt>
                <c:pt idx="1">
                  <c:v>16-18</c:v>
                </c:pt>
                <c:pt idx="2">
                  <c:v>19-21</c:v>
                </c:pt>
                <c:pt idx="3">
                  <c:v>22-24</c:v>
                </c:pt>
                <c:pt idx="4">
                  <c:v>25-27</c:v>
                </c:pt>
                <c:pt idx="5">
                  <c:v>28-30</c:v>
                </c:pt>
              </c:strCache>
            </c:strRef>
          </c:cat>
          <c:val>
            <c:numRef>
              <c:f>HISTOGRAM!$B$9:$B$14</c:f>
              <c:numCache>
                <c:formatCode>General</c:formatCode>
                <c:ptCount val="6"/>
                <c:pt idx="0">
                  <c:v>8</c:v>
                </c:pt>
                <c:pt idx="1">
                  <c:v>12</c:v>
                </c:pt>
                <c:pt idx="2">
                  <c:v>16</c:v>
                </c:pt>
                <c:pt idx="3">
                  <c:v>13</c:v>
                </c:pt>
                <c:pt idx="4">
                  <c:v>24</c:v>
                </c:pt>
                <c:pt idx="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77-4358-BA41-26874ACC15D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-27"/>
        <c:axId val="348298351"/>
        <c:axId val="348298831"/>
      </c:barChart>
      <c:catAx>
        <c:axId val="3482983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CLASS INTERVAL</a:t>
                </a:r>
              </a:p>
            </c:rich>
          </c:tx>
          <c:layout>
            <c:manualLayout>
              <c:xMode val="edge"/>
              <c:yMode val="edge"/>
              <c:x val="0.43274190726159228"/>
              <c:y val="0.90182852143482062"/>
            </c:manualLayout>
          </c:layout>
          <c:overlay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298831"/>
        <c:crosses val="autoZero"/>
        <c:auto val="1"/>
        <c:lblAlgn val="ctr"/>
        <c:lblOffset val="100"/>
        <c:noMultiLvlLbl val="0"/>
      </c:catAx>
      <c:valAx>
        <c:axId val="348298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</a:t>
                </a:r>
              </a:p>
            </c:rich>
          </c:tx>
          <c:layout>
            <c:manualLayout>
              <c:xMode val="edge"/>
              <c:yMode val="edge"/>
              <c:x val="1.1111111111111112E-2"/>
              <c:y val="0.32195975503062124"/>
            </c:manualLayout>
          </c:layout>
          <c:overlay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298351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C00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FREQUENCY POLYGON</a:t>
            </a:r>
          </a:p>
        </c:rich>
      </c:tx>
      <c:overlay val="0"/>
      <c:spPr>
        <a:solidFill>
          <a:schemeClr val="accent3">
            <a:lumMod val="60000"/>
            <a:lumOff val="4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HISTOGRAM!$B$8</c:f>
              <c:strCache>
                <c:ptCount val="1"/>
                <c:pt idx="0">
                  <c:v>FREQUENCY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HISTOGRAM!$A$9:$A$14</c:f>
              <c:strCache>
                <c:ptCount val="6"/>
                <c:pt idx="0">
                  <c:v>13-15</c:v>
                </c:pt>
                <c:pt idx="1">
                  <c:v>16-18</c:v>
                </c:pt>
                <c:pt idx="2">
                  <c:v>19-21</c:v>
                </c:pt>
                <c:pt idx="3">
                  <c:v>22-24</c:v>
                </c:pt>
                <c:pt idx="4">
                  <c:v>25-27</c:v>
                </c:pt>
                <c:pt idx="5">
                  <c:v>28-30</c:v>
                </c:pt>
              </c:strCache>
            </c:strRef>
          </c:cat>
          <c:val>
            <c:numRef>
              <c:f>HISTOGRAM!$B$9:$B$14</c:f>
              <c:numCache>
                <c:formatCode>General</c:formatCode>
                <c:ptCount val="6"/>
                <c:pt idx="0">
                  <c:v>8</c:v>
                </c:pt>
                <c:pt idx="1">
                  <c:v>12</c:v>
                </c:pt>
                <c:pt idx="2">
                  <c:v>16</c:v>
                </c:pt>
                <c:pt idx="3">
                  <c:v>13</c:v>
                </c:pt>
                <c:pt idx="4">
                  <c:v>24</c:v>
                </c:pt>
                <c:pt idx="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D1-4671-94E4-0378ED01444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upDownBars>
          <c:gapWidth val="0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smooth val="0"/>
        <c:axId val="319027423"/>
        <c:axId val="319020703"/>
      </c:lineChart>
      <c:catAx>
        <c:axId val="3190274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CLASS INTERVAL</a:t>
                </a:r>
              </a:p>
            </c:rich>
          </c:tx>
          <c:overlay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020703"/>
        <c:crosses val="autoZero"/>
        <c:auto val="1"/>
        <c:lblAlgn val="ctr"/>
        <c:lblOffset val="100"/>
        <c:noMultiLvlLbl val="0"/>
      </c:catAx>
      <c:valAx>
        <c:axId val="319020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FFREQUENCY</a:t>
                </a:r>
              </a:p>
            </c:rich>
          </c:tx>
          <c:layout>
            <c:manualLayout>
              <c:xMode val="edge"/>
              <c:yMode val="edge"/>
              <c:x val="2.5542664294305125E-2"/>
              <c:y val="0.38569986145848034"/>
            </c:manualLayout>
          </c:layout>
          <c:overlay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85000"/>
                <a:lumOff val="1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027423"/>
        <c:crosses val="autoZero"/>
        <c:crossBetween val="between"/>
      </c:valAx>
      <c:spPr>
        <a:solidFill>
          <a:schemeClr val="accent4"/>
        </a:solidFill>
        <a:ln>
          <a:solidFill>
            <a:schemeClr val="tx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HISTOGRAM</a:t>
            </a:r>
          </a:p>
        </c:rich>
      </c:tx>
      <c:overlay val="0"/>
      <c:spPr>
        <a:solidFill>
          <a:schemeClr val="accent1">
            <a:lumMod val="7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HISTOGRAM!$B$25</c:f>
              <c:strCache>
                <c:ptCount val="1"/>
                <c:pt idx="0">
                  <c:v>FREQUENCY </c:v>
                </c:pt>
              </c:strCache>
            </c:strRef>
          </c:tx>
          <c:spPr>
            <a:noFill/>
            <a:ln w="9525" cap="flat" cmpd="sng" algn="ctr">
              <a:solidFill>
                <a:schemeClr val="bg2">
                  <a:lumMod val="25000"/>
                </a:schemeClr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 w="9525" cap="flat" cmpd="sng" algn="ctr">
                <a:solidFill>
                  <a:schemeClr val="bg2">
                    <a:lumMod val="25000"/>
                  </a:schemeClr>
                </a:solidFill>
                <a:miter lim="800000"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5-6234-4328-809A-1A2A01557F3F}"/>
              </c:ext>
            </c:extLst>
          </c:dPt>
          <c:dPt>
            <c:idx val="1"/>
            <c:invertIfNegative val="0"/>
            <c:bubble3D val="0"/>
            <c:spPr>
              <a:solidFill>
                <a:srgbClr val="FFFF00"/>
              </a:solidFill>
              <a:ln w="9525" cap="flat" cmpd="sng" algn="ctr">
                <a:solidFill>
                  <a:schemeClr val="bg2">
                    <a:lumMod val="25000"/>
                  </a:schemeClr>
                </a:solidFill>
                <a:miter lim="800000"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4-6234-4328-809A-1A2A01557F3F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 w="9525" cap="flat" cmpd="sng" algn="ctr">
                <a:solidFill>
                  <a:schemeClr val="bg2">
                    <a:lumMod val="25000"/>
                  </a:schemeClr>
                </a:solidFill>
                <a:miter lim="800000"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3-6234-4328-809A-1A2A01557F3F}"/>
              </c:ext>
            </c:extLst>
          </c:dPt>
          <c:dPt>
            <c:idx val="3"/>
            <c:invertIfNegative val="0"/>
            <c:bubble3D val="0"/>
            <c:spPr>
              <a:solidFill>
                <a:srgbClr val="FFFF00"/>
              </a:solidFill>
              <a:ln w="9525" cap="flat" cmpd="sng" algn="ctr">
                <a:solidFill>
                  <a:schemeClr val="bg2">
                    <a:lumMod val="25000"/>
                  </a:schemeClr>
                </a:solidFill>
                <a:miter lim="800000"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2-6234-4328-809A-1A2A01557F3F}"/>
              </c:ext>
            </c:extLst>
          </c:dPt>
          <c:dPt>
            <c:idx val="4"/>
            <c:invertIfNegative val="0"/>
            <c:bubble3D val="0"/>
            <c:spPr>
              <a:solidFill>
                <a:srgbClr val="FFFF00"/>
              </a:solidFill>
              <a:ln w="9525" cap="flat" cmpd="sng" algn="ctr">
                <a:solidFill>
                  <a:schemeClr val="bg2">
                    <a:lumMod val="25000"/>
                  </a:schemeClr>
                </a:solidFill>
                <a:miter lim="800000"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1-6234-4328-809A-1A2A01557F3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HISTOGRAM!$A$26:$A$30</c:f>
              <c:strCache>
                <c:ptCount val="5"/>
                <c:pt idx="0">
                  <c:v>20-25</c:v>
                </c:pt>
                <c:pt idx="1">
                  <c:v>26-31</c:v>
                </c:pt>
                <c:pt idx="2">
                  <c:v>32-37</c:v>
                </c:pt>
                <c:pt idx="3">
                  <c:v>38-43</c:v>
                </c:pt>
                <c:pt idx="4">
                  <c:v>44-49</c:v>
                </c:pt>
              </c:strCache>
            </c:strRef>
          </c:cat>
          <c:val>
            <c:numRef>
              <c:f>HISTOGRAM!$B$26:$B$30</c:f>
              <c:numCache>
                <c:formatCode>General</c:formatCode>
                <c:ptCount val="5"/>
                <c:pt idx="0">
                  <c:v>15</c:v>
                </c:pt>
                <c:pt idx="1">
                  <c:v>24</c:v>
                </c:pt>
                <c:pt idx="2">
                  <c:v>12</c:v>
                </c:pt>
                <c:pt idx="3">
                  <c:v>9</c:v>
                </c:pt>
                <c:pt idx="4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34-4328-809A-1A2A01557F3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-40"/>
        <c:axId val="319062943"/>
        <c:axId val="319047583"/>
      </c:barChart>
      <c:catAx>
        <c:axId val="31906294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CLASS INTERVAL </a:t>
                </a:r>
              </a:p>
            </c:rich>
          </c:tx>
          <c:overlay val="0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047583"/>
        <c:crosses val="autoZero"/>
        <c:auto val="1"/>
        <c:lblAlgn val="ctr"/>
        <c:lblOffset val="100"/>
        <c:noMultiLvlLbl val="0"/>
      </c:catAx>
      <c:valAx>
        <c:axId val="31904758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</a:t>
                </a:r>
              </a:p>
            </c:rich>
          </c:tx>
          <c:layout>
            <c:manualLayout>
              <c:xMode val="edge"/>
              <c:yMode val="edge"/>
              <c:x val="2.2361369413784377E-2"/>
              <c:y val="0.2965870277291961"/>
            </c:manualLayout>
          </c:layout>
          <c:overlay val="0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062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FREQUENCY POLYGON </a:t>
            </a:r>
          </a:p>
        </c:rich>
      </c:tx>
      <c:overlay val="0"/>
      <c:spPr>
        <a:solidFill>
          <a:schemeClr val="bg1">
            <a:lumMod val="7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HISTOGRAM!$B$25</c:f>
              <c:strCache>
                <c:ptCount val="1"/>
                <c:pt idx="0">
                  <c:v>FREQUENCY 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HISTOGRAM!$A$26:$A$30</c:f>
              <c:strCache>
                <c:ptCount val="5"/>
                <c:pt idx="0">
                  <c:v>20-25</c:v>
                </c:pt>
                <c:pt idx="1">
                  <c:v>26-31</c:v>
                </c:pt>
                <c:pt idx="2">
                  <c:v>32-37</c:v>
                </c:pt>
                <c:pt idx="3">
                  <c:v>38-43</c:v>
                </c:pt>
                <c:pt idx="4">
                  <c:v>44-49</c:v>
                </c:pt>
              </c:strCache>
            </c:strRef>
          </c:cat>
          <c:val>
            <c:numRef>
              <c:f>HISTOGRAM!$B$26:$B$30</c:f>
              <c:numCache>
                <c:formatCode>General</c:formatCode>
                <c:ptCount val="5"/>
                <c:pt idx="0">
                  <c:v>15</c:v>
                </c:pt>
                <c:pt idx="1">
                  <c:v>24</c:v>
                </c:pt>
                <c:pt idx="2">
                  <c:v>12</c:v>
                </c:pt>
                <c:pt idx="3">
                  <c:v>9</c:v>
                </c:pt>
                <c:pt idx="4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0B-4B91-86A5-2D07E5604FF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upDownBars>
          <c:gapWidth val="315"/>
          <c:upBars>
            <c:spPr>
              <a:solidFill>
                <a:schemeClr val="lt1">
                  <a:lumMod val="85000"/>
                </a:schemeClr>
              </a:solidFill>
              <a:ln w="9525">
                <a:solidFill>
                  <a:schemeClr val="dk1">
                    <a:lumMod val="50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50000"/>
                  <a:lumOff val="50000"/>
                </a:schemeClr>
              </a:solidFill>
              <a:ln w="9525">
                <a:solidFill>
                  <a:schemeClr val="dk1">
                    <a:lumMod val="75000"/>
                  </a:schemeClr>
                </a:solidFill>
                <a:round/>
              </a:ln>
              <a:effectLst/>
            </c:spPr>
          </c:downBars>
        </c:upDownBars>
        <c:smooth val="0"/>
        <c:axId val="348337711"/>
        <c:axId val="348280591"/>
      </c:lineChart>
      <c:catAx>
        <c:axId val="34833771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CLASS INTERVAL</a:t>
                </a:r>
              </a:p>
            </c:rich>
          </c:tx>
          <c:overlay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280591"/>
        <c:crosses val="autoZero"/>
        <c:auto val="1"/>
        <c:lblAlgn val="ctr"/>
        <c:lblOffset val="100"/>
        <c:noMultiLvlLbl val="0"/>
      </c:catAx>
      <c:valAx>
        <c:axId val="34828059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</a:t>
                </a:r>
              </a:p>
            </c:rich>
          </c:tx>
          <c:overlay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gradFill>
                  <a:gsLst>
                    <a:gs pos="57800">
                      <a:srgbClr val="C2D1EB"/>
                    </a:gs>
                    <a:gs pos="2000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337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FREQUENCY  POLYGON</a:t>
            </a:r>
          </a:p>
        </c:rich>
      </c:tx>
      <c:overlay val="0"/>
      <c:spPr>
        <a:solidFill>
          <a:schemeClr val="accent3">
            <a:lumMod val="40000"/>
            <a:lumOff val="60000"/>
          </a:schemeClr>
        </a:solidFill>
        <a:ln>
          <a:solidFill>
            <a:schemeClr val="bg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HISTOGRAM!$B$47</c:f>
              <c:strCache>
                <c:ptCount val="1"/>
                <c:pt idx="0">
                  <c:v>FREQUENCY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HISTOGRAM!$A$48:$A$53</c:f>
              <c:strCache>
                <c:ptCount val="6"/>
                <c:pt idx="0">
                  <c:v>50-60</c:v>
                </c:pt>
                <c:pt idx="1">
                  <c:v>61-71</c:v>
                </c:pt>
                <c:pt idx="2">
                  <c:v>72-82</c:v>
                </c:pt>
                <c:pt idx="3">
                  <c:v>83-93</c:v>
                </c:pt>
                <c:pt idx="4">
                  <c:v>94-104</c:v>
                </c:pt>
                <c:pt idx="5">
                  <c:v>104-114</c:v>
                </c:pt>
              </c:strCache>
            </c:strRef>
          </c:cat>
          <c:val>
            <c:numRef>
              <c:f>HISTOGRAM!$B$48:$B$53</c:f>
              <c:numCache>
                <c:formatCode>General</c:formatCode>
                <c:ptCount val="6"/>
                <c:pt idx="0">
                  <c:v>22</c:v>
                </c:pt>
                <c:pt idx="1">
                  <c:v>99</c:v>
                </c:pt>
                <c:pt idx="2">
                  <c:v>12</c:v>
                </c:pt>
                <c:pt idx="3">
                  <c:v>78</c:v>
                </c:pt>
                <c:pt idx="4">
                  <c:v>24</c:v>
                </c:pt>
                <c:pt idx="5">
                  <c:v>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C0-4CD5-B7A0-CAA4A9D74F9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upDownBars>
          <c:gapWidth val="219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smooth val="0"/>
        <c:axId val="319041343"/>
        <c:axId val="319039903"/>
      </c:lineChart>
      <c:catAx>
        <c:axId val="3190413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CLASS INTERVAL</a:t>
                </a:r>
              </a:p>
            </c:rich>
          </c:tx>
          <c:overlay val="0"/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039903"/>
        <c:crosses val="autoZero"/>
        <c:auto val="1"/>
        <c:lblAlgn val="ctr"/>
        <c:lblOffset val="100"/>
        <c:noMultiLvlLbl val="0"/>
      </c:catAx>
      <c:valAx>
        <c:axId val="319039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</a:t>
                </a:r>
              </a:p>
            </c:rich>
          </c:tx>
          <c:overlay val="0"/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041343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0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HISTOGRAM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HISTOGRAM!$B$47</c:f>
              <c:strCache>
                <c:ptCount val="1"/>
                <c:pt idx="0">
                  <c:v>FREQUENCY 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solidFill>
                  <a:sysClr val="windowText" lastClr="00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HISTOGRAM!$A$48:$A$53</c:f>
              <c:strCache>
                <c:ptCount val="6"/>
                <c:pt idx="0">
                  <c:v>50-60</c:v>
                </c:pt>
                <c:pt idx="1">
                  <c:v>61-71</c:v>
                </c:pt>
                <c:pt idx="2">
                  <c:v>72-82</c:v>
                </c:pt>
                <c:pt idx="3">
                  <c:v>83-93</c:v>
                </c:pt>
                <c:pt idx="4">
                  <c:v>94-104</c:v>
                </c:pt>
                <c:pt idx="5">
                  <c:v>104-114</c:v>
                </c:pt>
              </c:strCache>
            </c:strRef>
          </c:cat>
          <c:val>
            <c:numRef>
              <c:f>HISTOGRAM!$B$48:$B$53</c:f>
              <c:numCache>
                <c:formatCode>General</c:formatCode>
                <c:ptCount val="6"/>
                <c:pt idx="0">
                  <c:v>22</c:v>
                </c:pt>
                <c:pt idx="1">
                  <c:v>99</c:v>
                </c:pt>
                <c:pt idx="2">
                  <c:v>12</c:v>
                </c:pt>
                <c:pt idx="3">
                  <c:v>78</c:v>
                </c:pt>
                <c:pt idx="4">
                  <c:v>24</c:v>
                </c:pt>
                <c:pt idx="5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5C-407B-96C1-EC845E733BE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-27"/>
        <c:axId val="348326191"/>
        <c:axId val="348316591"/>
      </c:barChart>
      <c:catAx>
        <c:axId val="3483261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CLASS INTERVAL</a:t>
                </a:r>
              </a:p>
            </c:rich>
          </c:tx>
          <c:overlay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316591"/>
        <c:crosses val="autoZero"/>
        <c:auto val="1"/>
        <c:lblAlgn val="ctr"/>
        <c:lblOffset val="100"/>
        <c:noMultiLvlLbl val="0"/>
      </c:catAx>
      <c:valAx>
        <c:axId val="348316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</a:t>
                </a:r>
              </a:p>
            </c:rich>
          </c:tx>
          <c:layout>
            <c:manualLayout>
              <c:xMode val="edge"/>
              <c:yMode val="edge"/>
              <c:x val="2.5000000000000001E-2"/>
              <c:y val="0.36647382618839308"/>
            </c:manualLayout>
          </c:layout>
          <c:overlay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326191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60000"/>
        <a:lumOff val="4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HISTOGRAM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HISTOGRAM!$B$62</c:f>
              <c:strCache>
                <c:ptCount val="1"/>
                <c:pt idx="0">
                  <c:v> FREQUENCY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HISTOGRAM!$A$63:$A$67</c:f>
              <c:strCache>
                <c:ptCount val="5"/>
                <c:pt idx="0">
                  <c:v>100-120</c:v>
                </c:pt>
                <c:pt idx="1">
                  <c:v>121-141</c:v>
                </c:pt>
                <c:pt idx="2">
                  <c:v>142-162</c:v>
                </c:pt>
                <c:pt idx="3">
                  <c:v>163-183</c:v>
                </c:pt>
                <c:pt idx="4">
                  <c:v>184-204</c:v>
                </c:pt>
              </c:strCache>
            </c:strRef>
          </c:cat>
          <c:val>
            <c:numRef>
              <c:f>HISTOGRAM!$B$63:$B$67</c:f>
              <c:numCache>
                <c:formatCode>General</c:formatCode>
                <c:ptCount val="5"/>
                <c:pt idx="0">
                  <c:v>84</c:v>
                </c:pt>
                <c:pt idx="1">
                  <c:v>96</c:v>
                </c:pt>
                <c:pt idx="2">
                  <c:v>54</c:v>
                </c:pt>
                <c:pt idx="3">
                  <c:v>78</c:v>
                </c:pt>
                <c:pt idx="4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DC-48B2-966F-55B92885FD1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-27"/>
        <c:axId val="348328591"/>
        <c:axId val="348312271"/>
      </c:barChart>
      <c:catAx>
        <c:axId val="3483285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CLASS INTERVAL</a:t>
                </a:r>
              </a:p>
            </c:rich>
          </c:tx>
          <c:overlay val="0"/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312271"/>
        <c:crosses val="autoZero"/>
        <c:auto val="1"/>
        <c:lblAlgn val="ctr"/>
        <c:lblOffset val="100"/>
        <c:noMultiLvlLbl val="0"/>
      </c:catAx>
      <c:valAx>
        <c:axId val="348312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</a:t>
                </a:r>
              </a:p>
            </c:rich>
          </c:tx>
          <c:overlay val="0"/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328591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FREQUENCY POLYGON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HISTOGRAM!$B$62</c:f>
              <c:strCache>
                <c:ptCount val="1"/>
                <c:pt idx="0">
                  <c:v> FREQUENCY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HISTOGRAM!$A$63:$A$67</c:f>
              <c:strCache>
                <c:ptCount val="5"/>
                <c:pt idx="0">
                  <c:v>100-120</c:v>
                </c:pt>
                <c:pt idx="1">
                  <c:v>121-141</c:v>
                </c:pt>
                <c:pt idx="2">
                  <c:v>142-162</c:v>
                </c:pt>
                <c:pt idx="3">
                  <c:v>163-183</c:v>
                </c:pt>
                <c:pt idx="4">
                  <c:v>184-204</c:v>
                </c:pt>
              </c:strCache>
            </c:strRef>
          </c:cat>
          <c:val>
            <c:numRef>
              <c:f>HISTOGRAM!$B$63:$B$67</c:f>
              <c:numCache>
                <c:formatCode>General</c:formatCode>
                <c:ptCount val="5"/>
                <c:pt idx="0">
                  <c:v>84</c:v>
                </c:pt>
                <c:pt idx="1">
                  <c:v>96</c:v>
                </c:pt>
                <c:pt idx="2">
                  <c:v>54</c:v>
                </c:pt>
                <c:pt idx="3">
                  <c:v>78</c:v>
                </c:pt>
                <c:pt idx="4">
                  <c:v>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2B-450C-A59D-9065CE8A1C3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smooth val="0"/>
        <c:axId val="348331471"/>
        <c:axId val="348331951"/>
      </c:lineChart>
      <c:catAx>
        <c:axId val="3483314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CLASS INTERVAL</a:t>
                </a:r>
              </a:p>
            </c:rich>
          </c:tx>
          <c:layout>
            <c:manualLayout>
              <c:xMode val="edge"/>
              <c:yMode val="edge"/>
              <c:x val="0.40751863215941336"/>
              <c:y val="0.89084648935665856"/>
            </c:manualLayout>
          </c:layout>
          <c:overlay val="0"/>
          <c:spPr>
            <a:solidFill>
              <a:srgbClr val="FFC000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331951"/>
        <c:crosses val="autoZero"/>
        <c:auto val="1"/>
        <c:lblAlgn val="ctr"/>
        <c:lblOffset val="100"/>
        <c:noMultiLvlLbl val="0"/>
      </c:catAx>
      <c:valAx>
        <c:axId val="348331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</a:t>
                </a:r>
              </a:p>
            </c:rich>
          </c:tx>
          <c:overlay val="0"/>
          <c:spPr>
            <a:solidFill>
              <a:srgbClr val="FFC000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331471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MONTH</a:t>
            </a:r>
            <a:r>
              <a:rPr lang="en-US" baseline="0"/>
              <a:t> SALES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'Pie Chart'!$B$5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C78-4BCB-85AC-9BCD1BB8D43E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C78-4BCB-85AC-9BCD1BB8D43E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C78-4BCB-85AC-9BCD1BB8D43E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C78-4BCB-85AC-9BCD1BB8D43E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C78-4BCB-85AC-9BCD1BB8D43E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C78-4BCB-85AC-9BCD1BB8D43E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C78-4BCB-85AC-9BCD1BB8D43E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C78-4BCB-85AC-9BCD1BB8D43E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8C78-4BCB-85AC-9BCD1BB8D43E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8C78-4BCB-85AC-9BCD1BB8D43E}"/>
              </c:ext>
            </c:extLst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8C78-4BCB-85AC-9BCD1BB8D43E}"/>
              </c:ext>
            </c:extLst>
          </c:dPt>
          <c:dPt>
            <c:idx val="11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8C78-4BCB-85AC-9BCD1BB8D43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'Pie Chart'!$B$6:$B$17</c:f>
              <c:numCache>
                <c:formatCode>General</c:formatCode>
                <c:ptCount val="12"/>
                <c:pt idx="0">
                  <c:v>29</c:v>
                </c:pt>
                <c:pt idx="1">
                  <c:v>27</c:v>
                </c:pt>
                <c:pt idx="2">
                  <c:v>49</c:v>
                </c:pt>
                <c:pt idx="3">
                  <c:v>43</c:v>
                </c:pt>
                <c:pt idx="4">
                  <c:v>40</c:v>
                </c:pt>
                <c:pt idx="5">
                  <c:v>24</c:v>
                </c:pt>
                <c:pt idx="6">
                  <c:v>35</c:v>
                </c:pt>
                <c:pt idx="7">
                  <c:v>26</c:v>
                </c:pt>
                <c:pt idx="8">
                  <c:v>26</c:v>
                </c:pt>
                <c:pt idx="9">
                  <c:v>38</c:v>
                </c:pt>
                <c:pt idx="10">
                  <c:v>31</c:v>
                </c:pt>
                <c:pt idx="11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C78-4BCB-85AC-9BCD1BB8D43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C000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0007955449482892E-2"/>
          <c:y val="0.1946722612303749"/>
          <c:w val="0.92999204455051709"/>
          <c:h val="0.49947728532852009"/>
        </c:manualLayout>
      </c:layout>
      <c:pie3DChart>
        <c:varyColors val="1"/>
        <c:ser>
          <c:idx val="0"/>
          <c:order val="0"/>
          <c:tx>
            <c:strRef>
              <c:f>'Pie Chart'!$N$5</c:f>
              <c:strCache>
                <c:ptCount val="1"/>
                <c:pt idx="0">
                  <c:v>REPORT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9B62-46F3-BDF3-4162AA3528B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9B62-46F3-BDF3-4162AA3528B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9B62-46F3-BDF3-4162AA3528BC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9B62-46F3-BDF3-4162AA3528BC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9B62-46F3-BDF3-4162AA3528BC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9B62-46F3-BDF3-4162AA3528BC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9B62-46F3-BDF3-4162AA3528B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Chart'!$M$6:$M$12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'Pie Chart'!$N$6:$N$12</c:f>
              <c:numCache>
                <c:formatCode>General</c:formatCode>
                <c:ptCount val="7"/>
                <c:pt idx="0">
                  <c:v>108</c:v>
                </c:pt>
                <c:pt idx="1">
                  <c:v>102</c:v>
                </c:pt>
                <c:pt idx="2">
                  <c:v>108</c:v>
                </c:pt>
                <c:pt idx="3">
                  <c:v>102</c:v>
                </c:pt>
                <c:pt idx="4">
                  <c:v>109</c:v>
                </c:pt>
                <c:pt idx="5">
                  <c:v>102</c:v>
                </c:pt>
                <c:pt idx="6">
                  <c:v>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B62-46F3-BDF3-4162AA3528B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COFFE PRICE IN DOLLAR</a:t>
            </a:r>
          </a:p>
        </c:rich>
      </c:tx>
      <c:layout>
        <c:manualLayout>
          <c:xMode val="edge"/>
          <c:yMode val="edge"/>
          <c:x val="0.22383580880316295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"/>
          <c:y val="0.1061728465581416"/>
          <c:w val="1"/>
          <c:h val="0.50854350866846076"/>
        </c:manualLayout>
      </c:layout>
      <c:pie3DChart>
        <c:varyColors val="1"/>
        <c:ser>
          <c:idx val="0"/>
          <c:order val="0"/>
          <c:tx>
            <c:strRef>
              <c:f>'Pie Chart'!$AK$5</c:f>
              <c:strCache>
                <c:ptCount val="1"/>
                <c:pt idx="0">
                  <c:v>PRICE IN DOLLAR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837-4212-B66D-04CCF39D038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837-4212-B66D-04CCF39D038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837-4212-B66D-04CCF39D038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8837-4212-B66D-04CCF39D038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9-8837-4212-B66D-04CCF39D038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B-8837-4212-B66D-04CCF39D038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D-8837-4212-B66D-04CCF39D038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F-8837-4212-B66D-04CCF39D038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1-8837-4212-B66D-04CCF39D038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3-8837-4212-B66D-04CCF39D038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5-8837-4212-B66D-04CCF39D038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7-8837-4212-B66D-04CCF39D038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Chart'!$AJ$6:$AJ$17</c:f>
              <c:strCache>
                <c:ptCount val="12"/>
                <c:pt idx="0">
                  <c:v>CAPPUCCINO</c:v>
                </c:pt>
                <c:pt idx="1">
                  <c:v>LATTE</c:v>
                </c:pt>
                <c:pt idx="2">
                  <c:v>FLAT WHITE</c:v>
                </c:pt>
                <c:pt idx="3">
                  <c:v>CAFFFE MACCHIATO</c:v>
                </c:pt>
                <c:pt idx="4">
                  <c:v>MOCHA</c:v>
                </c:pt>
                <c:pt idx="5">
                  <c:v>COLD BREW</c:v>
                </c:pt>
                <c:pt idx="6">
                  <c:v>AMERICANO</c:v>
                </c:pt>
                <c:pt idx="7">
                  <c:v>FRAPPE</c:v>
                </c:pt>
                <c:pt idx="8">
                  <c:v>DOPPIO</c:v>
                </c:pt>
                <c:pt idx="9">
                  <c:v>BREVE</c:v>
                </c:pt>
                <c:pt idx="10">
                  <c:v>LUNGO</c:v>
                </c:pt>
                <c:pt idx="11">
                  <c:v>FLAT WHITE</c:v>
                </c:pt>
              </c:strCache>
            </c:strRef>
          </c:cat>
          <c:val>
            <c:numRef>
              <c:f>'Pie Chart'!$AK$6:$AK$17</c:f>
              <c:numCache>
                <c:formatCode>"$"#,##0_);[Red]\("$"#,##0\)</c:formatCode>
                <c:ptCount val="12"/>
                <c:pt idx="0">
                  <c:v>22</c:v>
                </c:pt>
                <c:pt idx="1">
                  <c:v>12</c:v>
                </c:pt>
                <c:pt idx="2">
                  <c:v>14</c:v>
                </c:pt>
                <c:pt idx="3">
                  <c:v>18</c:v>
                </c:pt>
                <c:pt idx="4">
                  <c:v>16</c:v>
                </c:pt>
                <c:pt idx="5">
                  <c:v>21</c:v>
                </c:pt>
                <c:pt idx="6">
                  <c:v>25</c:v>
                </c:pt>
                <c:pt idx="7">
                  <c:v>28</c:v>
                </c:pt>
                <c:pt idx="8">
                  <c:v>26</c:v>
                </c:pt>
                <c:pt idx="9">
                  <c:v>24</c:v>
                </c:pt>
                <c:pt idx="10">
                  <c:v>23</c:v>
                </c:pt>
                <c:pt idx="11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F5-41E8-B492-1EAFF05097A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solidFill>
          <a:schemeClr val="accent4"/>
        </a:solidFill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40000"/>
        <a:lumOff val="60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'Pie Chart'!$Z$5</c:f>
              <c:strCache>
                <c:ptCount val="1"/>
                <c:pt idx="0">
                  <c:v>ATTENDENCE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11A-433B-B3C6-A58D01A003C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11A-433B-B3C6-A58D01A003C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11A-433B-B3C6-A58D01A003C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11A-433B-B3C6-A58D01A003C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11A-433B-B3C6-A58D01A003C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411A-433B-B3C6-A58D01A003C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411A-433B-B3C6-A58D01A003C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411A-433B-B3C6-A58D01A003C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411A-433B-B3C6-A58D01A003C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411A-433B-B3C6-A58D01A003C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411A-433B-B3C6-A58D01A003CC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Chart'!$Y$6:$Y$16</c:f>
              <c:strCache>
                <c:ptCount val="11"/>
                <c:pt idx="0">
                  <c:v>FIRST </c:v>
                </c:pt>
                <c:pt idx="1">
                  <c:v>SECOND</c:v>
                </c:pt>
                <c:pt idx="2">
                  <c:v>THIRD</c:v>
                </c:pt>
                <c:pt idx="3">
                  <c:v>FOURTH</c:v>
                </c:pt>
                <c:pt idx="4">
                  <c:v>FIFTH</c:v>
                </c:pt>
                <c:pt idx="5">
                  <c:v>SIXTH</c:v>
                </c:pt>
                <c:pt idx="6">
                  <c:v>SEVENTH</c:v>
                </c:pt>
                <c:pt idx="7">
                  <c:v>EIGHTH</c:v>
                </c:pt>
                <c:pt idx="8">
                  <c:v>NINTH</c:v>
                </c:pt>
                <c:pt idx="9">
                  <c:v>HIGH SCHOOL</c:v>
                </c:pt>
                <c:pt idx="10">
                  <c:v>INTERMEDIATE</c:v>
                </c:pt>
              </c:strCache>
            </c:strRef>
          </c:cat>
          <c:val>
            <c:numRef>
              <c:f>'Pie Chart'!$Z$6:$Z$16</c:f>
              <c:numCache>
                <c:formatCode>General</c:formatCode>
                <c:ptCount val="11"/>
                <c:pt idx="0">
                  <c:v>14</c:v>
                </c:pt>
                <c:pt idx="1">
                  <c:v>22</c:v>
                </c:pt>
                <c:pt idx="2">
                  <c:v>21</c:v>
                </c:pt>
                <c:pt idx="3">
                  <c:v>20</c:v>
                </c:pt>
                <c:pt idx="4">
                  <c:v>30</c:v>
                </c:pt>
                <c:pt idx="5">
                  <c:v>10</c:v>
                </c:pt>
                <c:pt idx="6">
                  <c:v>27</c:v>
                </c:pt>
                <c:pt idx="7">
                  <c:v>22</c:v>
                </c:pt>
                <c:pt idx="8">
                  <c:v>16</c:v>
                </c:pt>
                <c:pt idx="9">
                  <c:v>29</c:v>
                </c:pt>
                <c:pt idx="10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84-429C-AD58-33A4CC74776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0"/>
              <a:t>CUMULATIVE FREQUENCY</a:t>
            </a:r>
          </a:p>
        </c:rich>
      </c:tx>
      <c:overlay val="0"/>
      <c:spPr>
        <a:solidFill>
          <a:schemeClr val="tx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OGIVES!$F$6</c:f>
              <c:strCache>
                <c:ptCount val="1"/>
                <c:pt idx="0">
                  <c:v>CUMULATIVE FREQUENCY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OGIVES!$E$7:$E$13</c:f>
              <c:numCache>
                <c:formatCode>General</c:formatCode>
                <c:ptCount val="7"/>
                <c:pt idx="0">
                  <c:v>10</c:v>
                </c:pt>
                <c:pt idx="1">
                  <c:v>16</c:v>
                </c:pt>
                <c:pt idx="2">
                  <c:v>22</c:v>
                </c:pt>
                <c:pt idx="3">
                  <c:v>28</c:v>
                </c:pt>
                <c:pt idx="4">
                  <c:v>34</c:v>
                </c:pt>
                <c:pt idx="5">
                  <c:v>40</c:v>
                </c:pt>
                <c:pt idx="6">
                  <c:v>46</c:v>
                </c:pt>
              </c:numCache>
            </c:numRef>
          </c:xVal>
          <c:yVal>
            <c:numRef>
              <c:f>OGIVES!$F$7:$F$13</c:f>
              <c:numCache>
                <c:formatCode>General</c:formatCode>
                <c:ptCount val="7"/>
                <c:pt idx="0">
                  <c:v>8</c:v>
                </c:pt>
                <c:pt idx="1">
                  <c:v>20</c:v>
                </c:pt>
                <c:pt idx="2">
                  <c:v>38</c:v>
                </c:pt>
                <c:pt idx="3">
                  <c:v>63</c:v>
                </c:pt>
                <c:pt idx="4">
                  <c:v>95</c:v>
                </c:pt>
                <c:pt idx="5">
                  <c:v>137</c:v>
                </c:pt>
                <c:pt idx="6">
                  <c:v>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8B-4443-BF5C-D7831993560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364088400"/>
        <c:axId val="1364088880"/>
      </c:scatterChart>
      <c:valAx>
        <c:axId val="136408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088880"/>
        <c:crosses val="autoZero"/>
        <c:crossBetween val="midCat"/>
      </c:valAx>
      <c:valAx>
        <c:axId val="136408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088400"/>
        <c:crosses val="autoZero"/>
        <c:crossBetween val="midCat"/>
      </c:valAx>
      <c:spPr>
        <a:noFill/>
        <a:ln>
          <a:solidFill>
            <a:schemeClr val="bg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Text" lastClr="000000">
        <a:lumMod val="75000"/>
        <a:lumOff val="25000"/>
      </a:sys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OGIVES</a:t>
            </a:r>
          </a:p>
        </c:rich>
      </c:tx>
      <c:overlay val="0"/>
      <c:spPr>
        <a:solidFill>
          <a:schemeClr val="accent4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OGIVES!$F$6</c:f>
              <c:strCache>
                <c:ptCount val="1"/>
                <c:pt idx="0">
                  <c:v>CUMULATIVE FREQUENCY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OGIVES!$E$7:$E$13</c:f>
              <c:numCache>
                <c:formatCode>General</c:formatCode>
                <c:ptCount val="7"/>
                <c:pt idx="0">
                  <c:v>10</c:v>
                </c:pt>
                <c:pt idx="1">
                  <c:v>16</c:v>
                </c:pt>
                <c:pt idx="2">
                  <c:v>22</c:v>
                </c:pt>
                <c:pt idx="3">
                  <c:v>28</c:v>
                </c:pt>
                <c:pt idx="4">
                  <c:v>34</c:v>
                </c:pt>
                <c:pt idx="5">
                  <c:v>40</c:v>
                </c:pt>
                <c:pt idx="6">
                  <c:v>46</c:v>
                </c:pt>
              </c:numCache>
            </c:numRef>
          </c:xVal>
          <c:yVal>
            <c:numRef>
              <c:f>OGIVES!$F$7:$F$13</c:f>
              <c:numCache>
                <c:formatCode>General</c:formatCode>
                <c:ptCount val="7"/>
                <c:pt idx="0">
                  <c:v>8</c:v>
                </c:pt>
                <c:pt idx="1">
                  <c:v>20</c:v>
                </c:pt>
                <c:pt idx="2">
                  <c:v>38</c:v>
                </c:pt>
                <c:pt idx="3">
                  <c:v>63</c:v>
                </c:pt>
                <c:pt idx="4">
                  <c:v>95</c:v>
                </c:pt>
                <c:pt idx="5">
                  <c:v>137</c:v>
                </c:pt>
                <c:pt idx="6">
                  <c:v>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A0-4A29-A621-401D84319C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4048080"/>
        <c:axId val="1364049040"/>
      </c:scatterChart>
      <c:scatterChart>
        <c:scatterStyle val="lineMarker"/>
        <c:varyColors val="0"/>
        <c:ser>
          <c:idx val="1"/>
          <c:order val="1"/>
          <c:tx>
            <c:strRef>
              <c:f>OGIVES!$G$6</c:f>
              <c:strCache>
                <c:ptCount val="1"/>
                <c:pt idx="0">
                  <c:v>CUMMULATIVE FREQUENCY PERCENT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xVal>
            <c:numRef>
              <c:f>OGIVES!$E$7:$E$13</c:f>
              <c:numCache>
                <c:formatCode>General</c:formatCode>
                <c:ptCount val="7"/>
                <c:pt idx="0">
                  <c:v>10</c:v>
                </c:pt>
                <c:pt idx="1">
                  <c:v>16</c:v>
                </c:pt>
                <c:pt idx="2">
                  <c:v>22</c:v>
                </c:pt>
                <c:pt idx="3">
                  <c:v>28</c:v>
                </c:pt>
                <c:pt idx="4">
                  <c:v>34</c:v>
                </c:pt>
                <c:pt idx="5">
                  <c:v>40</c:v>
                </c:pt>
                <c:pt idx="6">
                  <c:v>46</c:v>
                </c:pt>
              </c:numCache>
            </c:numRef>
          </c:xVal>
          <c:yVal>
            <c:numRef>
              <c:f>OGIVES!$G$7:$G$13</c:f>
              <c:numCache>
                <c:formatCode>0%</c:formatCode>
                <c:ptCount val="7"/>
                <c:pt idx="0">
                  <c:v>4.3956043956043959E-2</c:v>
                </c:pt>
                <c:pt idx="1">
                  <c:v>0.10989010989010989</c:v>
                </c:pt>
                <c:pt idx="2">
                  <c:v>0.2087912087912088</c:v>
                </c:pt>
                <c:pt idx="3">
                  <c:v>0.34615384615384615</c:v>
                </c:pt>
                <c:pt idx="4">
                  <c:v>0.52197802197802201</c:v>
                </c:pt>
                <c:pt idx="5">
                  <c:v>0.75274725274725274</c:v>
                </c:pt>
                <c:pt idx="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7A0-4A29-A621-401D84319C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4096080"/>
        <c:axId val="1364087920"/>
      </c:scatterChart>
      <c:valAx>
        <c:axId val="1364048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049040"/>
        <c:crosses val="autoZero"/>
        <c:crossBetween val="midCat"/>
      </c:valAx>
      <c:valAx>
        <c:axId val="1364049040"/>
        <c:scaling>
          <c:orientation val="minMax"/>
          <c:max val="18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048080"/>
        <c:crosses val="autoZero"/>
        <c:crossBetween val="midCat"/>
      </c:valAx>
      <c:valAx>
        <c:axId val="1364087920"/>
        <c:scaling>
          <c:orientation val="minMax"/>
          <c:max val="1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096080"/>
        <c:crosses val="max"/>
        <c:crossBetween val="midCat"/>
      </c:valAx>
      <c:valAx>
        <c:axId val="13640960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640879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92D05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OGIVES!$F$26</c:f>
              <c:strCache>
                <c:ptCount val="1"/>
                <c:pt idx="0">
                  <c:v>CUMMULATIVE FREQUENCY</c:v>
                </c:pt>
              </c:strCache>
            </c:strRef>
          </c:tx>
          <c:spPr>
            <a:ln w="28575" cap="rnd">
              <a:solidFill>
                <a:schemeClr val="lt1">
                  <a:alpha val="50000"/>
                </a:schemeClr>
              </a:solidFill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circle"/>
            <c:size val="6"/>
            <c:spPr>
              <a:solidFill>
                <a:schemeClr val="accent2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xVal>
            <c:numRef>
              <c:f>OGIVES!$E$27:$E$31</c:f>
              <c:numCache>
                <c:formatCode>General</c:formatCode>
                <c:ptCount val="5"/>
                <c:pt idx="0">
                  <c:v>23</c:v>
                </c:pt>
                <c:pt idx="1">
                  <c:v>26</c:v>
                </c:pt>
                <c:pt idx="2">
                  <c:v>29</c:v>
                </c:pt>
                <c:pt idx="3">
                  <c:v>32</c:v>
                </c:pt>
                <c:pt idx="4">
                  <c:v>35</c:v>
                </c:pt>
              </c:numCache>
            </c:numRef>
          </c:xVal>
          <c:yVal>
            <c:numRef>
              <c:f>OGIVES!$F$27:$F$31</c:f>
              <c:numCache>
                <c:formatCode>General</c:formatCode>
                <c:ptCount val="5"/>
                <c:pt idx="0">
                  <c:v>12</c:v>
                </c:pt>
                <c:pt idx="1">
                  <c:v>26</c:v>
                </c:pt>
                <c:pt idx="2">
                  <c:v>34</c:v>
                </c:pt>
                <c:pt idx="3">
                  <c:v>41</c:v>
                </c:pt>
                <c:pt idx="4">
                  <c:v>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6B-4D82-B787-4A8FA8FD75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59616"/>
        <c:axId val="1500464896"/>
      </c:scatterChart>
      <c:valAx>
        <c:axId val="1500459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64896"/>
        <c:crosses val="autoZero"/>
        <c:crossBetween val="midCat"/>
      </c:valAx>
      <c:valAx>
        <c:axId val="1500464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59616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/>
    </a:solidFill>
    <a:ln w="9525" cap="flat" cmpd="sng" algn="ctr">
      <a:solidFill>
        <a:schemeClr val="accent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OGIVES</a:t>
            </a:r>
            <a:endParaRPr lang="en-US" b="1"/>
          </a:p>
        </c:rich>
      </c:tx>
      <c:overlay val="0"/>
      <c:spPr>
        <a:solidFill>
          <a:schemeClr val="accent5">
            <a:lumMod val="7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OGIVES!$F$26</c:f>
              <c:strCache>
                <c:ptCount val="1"/>
                <c:pt idx="0">
                  <c:v>CUMMULATIVE FREQUENCY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OGIVES!$E$27:$E$31</c:f>
              <c:numCache>
                <c:formatCode>General</c:formatCode>
                <c:ptCount val="5"/>
                <c:pt idx="0">
                  <c:v>23</c:v>
                </c:pt>
                <c:pt idx="1">
                  <c:v>26</c:v>
                </c:pt>
                <c:pt idx="2">
                  <c:v>29</c:v>
                </c:pt>
                <c:pt idx="3">
                  <c:v>32</c:v>
                </c:pt>
                <c:pt idx="4">
                  <c:v>35</c:v>
                </c:pt>
              </c:numCache>
            </c:numRef>
          </c:xVal>
          <c:yVal>
            <c:numRef>
              <c:f>OGIVES!$F$27:$F$31</c:f>
              <c:numCache>
                <c:formatCode>General</c:formatCode>
                <c:ptCount val="5"/>
                <c:pt idx="0">
                  <c:v>12</c:v>
                </c:pt>
                <c:pt idx="1">
                  <c:v>26</c:v>
                </c:pt>
                <c:pt idx="2">
                  <c:v>34</c:v>
                </c:pt>
                <c:pt idx="3">
                  <c:v>41</c:v>
                </c:pt>
                <c:pt idx="4">
                  <c:v>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AA-4AF0-AFFD-7260F0A194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88896"/>
        <c:axId val="1500492256"/>
      </c:scatterChart>
      <c:scatterChart>
        <c:scatterStyle val="lineMarker"/>
        <c:varyColors val="0"/>
        <c:ser>
          <c:idx val="1"/>
          <c:order val="1"/>
          <c:tx>
            <c:strRef>
              <c:f>OGIVES!$G$26</c:f>
              <c:strCache>
                <c:ptCount val="1"/>
                <c:pt idx="0">
                  <c:v>CUMMULATIVE FREQUENCY PERCENT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xVal>
            <c:numRef>
              <c:f>OGIVES!$E$27:$E$31</c:f>
              <c:numCache>
                <c:formatCode>General</c:formatCode>
                <c:ptCount val="5"/>
                <c:pt idx="0">
                  <c:v>23</c:v>
                </c:pt>
                <c:pt idx="1">
                  <c:v>26</c:v>
                </c:pt>
                <c:pt idx="2">
                  <c:v>29</c:v>
                </c:pt>
                <c:pt idx="3">
                  <c:v>32</c:v>
                </c:pt>
                <c:pt idx="4">
                  <c:v>35</c:v>
                </c:pt>
              </c:numCache>
            </c:numRef>
          </c:xVal>
          <c:yVal>
            <c:numRef>
              <c:f>OGIVES!$G$27:$G$31</c:f>
              <c:numCache>
                <c:formatCode>0%</c:formatCode>
                <c:ptCount val="5"/>
                <c:pt idx="0">
                  <c:v>0.1875</c:v>
                </c:pt>
                <c:pt idx="1">
                  <c:v>0.40625</c:v>
                </c:pt>
                <c:pt idx="2">
                  <c:v>0.53125</c:v>
                </c:pt>
                <c:pt idx="3">
                  <c:v>0.640625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FAA-4AF0-AFFD-7260F0A194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498496"/>
        <c:axId val="1500495616"/>
      </c:scatterChart>
      <c:valAx>
        <c:axId val="1500488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92256"/>
        <c:crosses val="autoZero"/>
        <c:crossBetween val="midCat"/>
      </c:valAx>
      <c:valAx>
        <c:axId val="1500492256"/>
        <c:scaling>
          <c:orientation val="minMax"/>
          <c:max val="64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88896"/>
        <c:crosses val="autoZero"/>
        <c:crossBetween val="midCat"/>
      </c:valAx>
      <c:valAx>
        <c:axId val="1500495616"/>
        <c:scaling>
          <c:orientation val="minMax"/>
          <c:max val="1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498496"/>
        <c:crosses val="max"/>
        <c:crossBetween val="midCat"/>
      </c:valAx>
      <c:valAx>
        <c:axId val="15004984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00495616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C00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solidFill>
          <a:schemeClr val="accent4">
            <a:lumMod val="40000"/>
            <a:lumOff val="6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OGIVES!$F$45</c:f>
              <c:strCache>
                <c:ptCount val="1"/>
                <c:pt idx="0">
                  <c:v>CUMMULATIVE FREQUENCY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OGIVES!$E$46:$E$50</c:f>
              <c:numCache>
                <c:formatCode>General</c:formatCode>
                <c:ptCount val="5"/>
                <c:pt idx="0">
                  <c:v>155</c:v>
                </c:pt>
                <c:pt idx="1">
                  <c:v>161</c:v>
                </c:pt>
                <c:pt idx="2">
                  <c:v>167</c:v>
                </c:pt>
                <c:pt idx="3">
                  <c:v>173</c:v>
                </c:pt>
                <c:pt idx="4">
                  <c:v>179</c:v>
                </c:pt>
              </c:numCache>
            </c:numRef>
          </c:xVal>
          <c:yVal>
            <c:numRef>
              <c:f>OGIVES!$F$46:$F$50</c:f>
              <c:numCache>
                <c:formatCode>General</c:formatCode>
                <c:ptCount val="5"/>
                <c:pt idx="0">
                  <c:v>55</c:v>
                </c:pt>
                <c:pt idx="1">
                  <c:v>100</c:v>
                </c:pt>
                <c:pt idx="2">
                  <c:v>148</c:v>
                </c:pt>
                <c:pt idx="3">
                  <c:v>210</c:v>
                </c:pt>
                <c:pt idx="4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AF-4FB3-A424-B05730E711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9032704"/>
        <c:axId val="1629033184"/>
      </c:scatterChart>
      <c:valAx>
        <c:axId val="1629032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033184"/>
        <c:crosses val="autoZero"/>
        <c:crossBetween val="midCat"/>
      </c:valAx>
      <c:valAx>
        <c:axId val="162903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03270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OGIVES</a:t>
            </a:r>
          </a:p>
        </c:rich>
      </c:tx>
      <c:layout>
        <c:manualLayout>
          <c:xMode val="edge"/>
          <c:yMode val="edge"/>
          <c:x val="0.44143812430962193"/>
          <c:y val="2.773052912906487E-2"/>
        </c:manualLayout>
      </c:layout>
      <c:overlay val="0"/>
      <c:spPr>
        <a:solidFill>
          <a:schemeClr val="accent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9356253235948466E-2"/>
          <c:y val="0.17330109093333687"/>
          <c:w val="0.82586222348435356"/>
          <c:h val="0.5930617633850751"/>
        </c:manualLayout>
      </c:layout>
      <c:scatterChart>
        <c:scatterStyle val="lineMarker"/>
        <c:varyColors val="0"/>
        <c:ser>
          <c:idx val="0"/>
          <c:order val="0"/>
          <c:tx>
            <c:strRef>
              <c:f>OGIVES!$F$45</c:f>
              <c:strCache>
                <c:ptCount val="1"/>
                <c:pt idx="0">
                  <c:v>CUMMULATIVE FREQUENCY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OGIVES!$E$46:$E$50</c:f>
              <c:numCache>
                <c:formatCode>General</c:formatCode>
                <c:ptCount val="5"/>
                <c:pt idx="0">
                  <c:v>155</c:v>
                </c:pt>
                <c:pt idx="1">
                  <c:v>161</c:v>
                </c:pt>
                <c:pt idx="2">
                  <c:v>167</c:v>
                </c:pt>
                <c:pt idx="3">
                  <c:v>173</c:v>
                </c:pt>
                <c:pt idx="4">
                  <c:v>179</c:v>
                </c:pt>
              </c:numCache>
            </c:numRef>
          </c:xVal>
          <c:yVal>
            <c:numRef>
              <c:f>OGIVES!$F$46:$F$50</c:f>
              <c:numCache>
                <c:formatCode>General</c:formatCode>
                <c:ptCount val="5"/>
                <c:pt idx="0">
                  <c:v>55</c:v>
                </c:pt>
                <c:pt idx="1">
                  <c:v>100</c:v>
                </c:pt>
                <c:pt idx="2">
                  <c:v>148</c:v>
                </c:pt>
                <c:pt idx="3">
                  <c:v>210</c:v>
                </c:pt>
                <c:pt idx="4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E1-4A38-B2D6-8F3FE8D1BB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9065344"/>
        <c:axId val="1629065824"/>
      </c:scatterChart>
      <c:scatterChart>
        <c:scatterStyle val="lineMarker"/>
        <c:varyColors val="0"/>
        <c:ser>
          <c:idx val="1"/>
          <c:order val="1"/>
          <c:tx>
            <c:strRef>
              <c:f>OGIVES!$G$45</c:f>
              <c:strCache>
                <c:ptCount val="1"/>
                <c:pt idx="0">
                  <c:v>CUMMULATIVE FREQUENCY PERCENT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xVal>
            <c:numRef>
              <c:f>OGIVES!$E$46:$E$50</c:f>
              <c:numCache>
                <c:formatCode>General</c:formatCode>
                <c:ptCount val="5"/>
                <c:pt idx="0">
                  <c:v>155</c:v>
                </c:pt>
                <c:pt idx="1">
                  <c:v>161</c:v>
                </c:pt>
                <c:pt idx="2">
                  <c:v>167</c:v>
                </c:pt>
                <c:pt idx="3">
                  <c:v>173</c:v>
                </c:pt>
                <c:pt idx="4">
                  <c:v>179</c:v>
                </c:pt>
              </c:numCache>
            </c:numRef>
          </c:xVal>
          <c:yVal>
            <c:numRef>
              <c:f>OGIVES!$G$46:$G$50</c:f>
              <c:numCache>
                <c:formatCode>0%</c:formatCode>
                <c:ptCount val="5"/>
                <c:pt idx="0">
                  <c:v>0.22</c:v>
                </c:pt>
                <c:pt idx="1">
                  <c:v>0.4</c:v>
                </c:pt>
                <c:pt idx="2">
                  <c:v>0.59199999999999997</c:v>
                </c:pt>
                <c:pt idx="3">
                  <c:v>0.84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E1-4A38-B2D6-8F3FE8D1BB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9050944"/>
        <c:axId val="1629046624"/>
      </c:scatterChart>
      <c:valAx>
        <c:axId val="1629065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065824"/>
        <c:crosses val="autoZero"/>
        <c:crossBetween val="midCat"/>
      </c:valAx>
      <c:valAx>
        <c:axId val="1629065824"/>
        <c:scaling>
          <c:orientation val="minMax"/>
          <c:max val="2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065344"/>
        <c:crosses val="autoZero"/>
        <c:crossBetween val="midCat"/>
      </c:valAx>
      <c:valAx>
        <c:axId val="1629046624"/>
        <c:scaling>
          <c:orientation val="minMax"/>
          <c:max val="1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050944"/>
        <c:crosses val="max"/>
        <c:crossBetween val="midCat"/>
      </c:valAx>
      <c:valAx>
        <c:axId val="16290509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2904662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0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solidFill>
          <a:srgbClr val="FFFF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OGIVES!$F$61</c:f>
              <c:strCache>
                <c:ptCount val="1"/>
                <c:pt idx="0">
                  <c:v>CUMMULATIVE FREQUENCY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OGIVES!$E$62:$E$66</c:f>
              <c:numCache>
                <c:formatCode>General</c:formatCode>
                <c:ptCount val="5"/>
                <c:pt idx="0">
                  <c:v>184</c:v>
                </c:pt>
                <c:pt idx="1">
                  <c:v>187</c:v>
                </c:pt>
                <c:pt idx="2">
                  <c:v>190</c:v>
                </c:pt>
                <c:pt idx="3">
                  <c:v>193</c:v>
                </c:pt>
                <c:pt idx="4">
                  <c:v>196</c:v>
                </c:pt>
              </c:numCache>
            </c:numRef>
          </c:xVal>
          <c:yVal>
            <c:numRef>
              <c:f>OGIVES!$F$62:$F$66</c:f>
              <c:numCache>
                <c:formatCode>General</c:formatCode>
                <c:ptCount val="5"/>
                <c:pt idx="0">
                  <c:v>85</c:v>
                </c:pt>
                <c:pt idx="1">
                  <c:v>190</c:v>
                </c:pt>
                <c:pt idx="2">
                  <c:v>292</c:v>
                </c:pt>
                <c:pt idx="3">
                  <c:v>388</c:v>
                </c:pt>
                <c:pt idx="4">
                  <c:v>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2B-4EF4-AD88-967454608F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9009184"/>
        <c:axId val="1629007264"/>
      </c:scatterChart>
      <c:valAx>
        <c:axId val="1629009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007264"/>
        <c:crosses val="autoZero"/>
        <c:crossBetween val="midCat"/>
      </c:valAx>
      <c:valAx>
        <c:axId val="1629007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00918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OGIVES</a:t>
            </a:r>
          </a:p>
        </c:rich>
      </c:tx>
      <c:overlay val="0"/>
      <c:spPr>
        <a:solidFill>
          <a:srgbClr val="92D05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OGIVES!$F$61</c:f>
              <c:strCache>
                <c:ptCount val="1"/>
                <c:pt idx="0">
                  <c:v>CUMMULATIVE FREQUENCY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OGIVES!$E$62:$E$66</c:f>
              <c:numCache>
                <c:formatCode>General</c:formatCode>
                <c:ptCount val="5"/>
                <c:pt idx="0">
                  <c:v>184</c:v>
                </c:pt>
                <c:pt idx="1">
                  <c:v>187</c:v>
                </c:pt>
                <c:pt idx="2">
                  <c:v>190</c:v>
                </c:pt>
                <c:pt idx="3">
                  <c:v>193</c:v>
                </c:pt>
                <c:pt idx="4">
                  <c:v>196</c:v>
                </c:pt>
              </c:numCache>
            </c:numRef>
          </c:xVal>
          <c:yVal>
            <c:numRef>
              <c:f>OGIVES!$F$62:$F$66</c:f>
              <c:numCache>
                <c:formatCode>General</c:formatCode>
                <c:ptCount val="5"/>
                <c:pt idx="0">
                  <c:v>85</c:v>
                </c:pt>
                <c:pt idx="1">
                  <c:v>190</c:v>
                </c:pt>
                <c:pt idx="2">
                  <c:v>292</c:v>
                </c:pt>
                <c:pt idx="3">
                  <c:v>388</c:v>
                </c:pt>
                <c:pt idx="4">
                  <c:v>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0F-4176-AA95-59B89645E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9053344"/>
        <c:axId val="1629037024"/>
      </c:scatterChart>
      <c:scatterChart>
        <c:scatterStyle val="lineMarker"/>
        <c:varyColors val="0"/>
        <c:ser>
          <c:idx val="1"/>
          <c:order val="1"/>
          <c:tx>
            <c:strRef>
              <c:f>OGIVES!$G$61</c:f>
              <c:strCache>
                <c:ptCount val="1"/>
                <c:pt idx="0">
                  <c:v>CUMMULATIVE FREQUENCY PERCENT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OGIVES!$E$62:$E$66</c:f>
              <c:numCache>
                <c:formatCode>General</c:formatCode>
                <c:ptCount val="5"/>
                <c:pt idx="0">
                  <c:v>184</c:v>
                </c:pt>
                <c:pt idx="1">
                  <c:v>187</c:v>
                </c:pt>
                <c:pt idx="2">
                  <c:v>190</c:v>
                </c:pt>
                <c:pt idx="3">
                  <c:v>193</c:v>
                </c:pt>
                <c:pt idx="4">
                  <c:v>196</c:v>
                </c:pt>
              </c:numCache>
            </c:numRef>
          </c:xVal>
          <c:yVal>
            <c:numRef>
              <c:f>OGIVES!$G$62:$G$66</c:f>
              <c:numCache>
                <c:formatCode>0%</c:formatCode>
                <c:ptCount val="5"/>
                <c:pt idx="0">
                  <c:v>0.18888888888888888</c:v>
                </c:pt>
                <c:pt idx="1">
                  <c:v>0.42222222222222222</c:v>
                </c:pt>
                <c:pt idx="2">
                  <c:v>0.64888888888888885</c:v>
                </c:pt>
                <c:pt idx="3">
                  <c:v>0.86222222222222222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0F-4176-AA95-59B89645E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9043264"/>
        <c:axId val="1629038944"/>
      </c:scatterChart>
      <c:valAx>
        <c:axId val="1629053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037024"/>
        <c:crosses val="autoZero"/>
        <c:crossBetween val="midCat"/>
      </c:valAx>
      <c:valAx>
        <c:axId val="1629037024"/>
        <c:scaling>
          <c:orientation val="minMax"/>
          <c:max val="45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053344"/>
        <c:crosses val="autoZero"/>
        <c:crossBetween val="midCat"/>
      </c:valAx>
      <c:valAx>
        <c:axId val="1629038944"/>
        <c:scaling>
          <c:orientation val="minMax"/>
          <c:max val="1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043264"/>
        <c:crosses val="max"/>
        <c:crossBetween val="midCat"/>
      </c:valAx>
      <c:valAx>
        <c:axId val="16290432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2903894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499486</xdr:colOff>
      <xdr:row>3</xdr:row>
      <xdr:rowOff>45357</xdr:rowOff>
    </xdr:from>
    <xdr:to>
      <xdr:col>13</xdr:col>
      <xdr:colOff>30238</xdr:colOff>
      <xdr:row>18</xdr:row>
      <xdr:rowOff>53061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A9C2436-4E6F-E551-6AD1-143F0362BC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8504</xdr:colOff>
      <xdr:row>3</xdr:row>
      <xdr:rowOff>42522</xdr:rowOff>
    </xdr:from>
    <xdr:to>
      <xdr:col>22</xdr:col>
      <xdr:colOff>62120</xdr:colOff>
      <xdr:row>18</xdr:row>
      <xdr:rowOff>88796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8D81B24-B4A3-8A2D-E7F5-7D4EB94730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590053</xdr:colOff>
      <xdr:row>23</xdr:row>
      <xdr:rowOff>37111</xdr:rowOff>
    </xdr:from>
    <xdr:to>
      <xdr:col>13</xdr:col>
      <xdr:colOff>148441</xdr:colOff>
      <xdr:row>38</xdr:row>
      <xdr:rowOff>109846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596AC30-285F-1DD9-82F0-F325E7375F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86590</xdr:colOff>
      <xdr:row>23</xdr:row>
      <xdr:rowOff>26225</xdr:rowOff>
    </xdr:from>
    <xdr:to>
      <xdr:col>21</xdr:col>
      <xdr:colOff>566551</xdr:colOff>
      <xdr:row>38</xdr:row>
      <xdr:rowOff>123700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0A9E759-676A-4ECC-EB27-AC0FD7CF7D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117230</xdr:colOff>
      <xdr:row>43</xdr:row>
      <xdr:rowOff>2198</xdr:rowOff>
    </xdr:from>
    <xdr:to>
      <xdr:col>21</xdr:col>
      <xdr:colOff>538369</xdr:colOff>
      <xdr:row>57</xdr:row>
      <xdr:rowOff>78398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4D7969D-C583-A804-26F6-A340D2A46D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80595</xdr:colOff>
      <xdr:row>43</xdr:row>
      <xdr:rowOff>5862</xdr:rowOff>
    </xdr:from>
    <xdr:to>
      <xdr:col>13</xdr:col>
      <xdr:colOff>227134</xdr:colOff>
      <xdr:row>57</xdr:row>
      <xdr:rowOff>82062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984D594B-D87C-0C0D-8008-2E283E0291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183173</xdr:colOff>
      <xdr:row>59</xdr:row>
      <xdr:rowOff>93786</xdr:rowOff>
    </xdr:from>
    <xdr:to>
      <xdr:col>13</xdr:col>
      <xdr:colOff>329712</xdr:colOff>
      <xdr:row>73</xdr:row>
      <xdr:rowOff>169986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1F0040CA-7FD5-8475-3BDB-CA8E9CA85C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227135</xdr:colOff>
      <xdr:row>59</xdr:row>
      <xdr:rowOff>137747</xdr:rowOff>
    </xdr:from>
    <xdr:to>
      <xdr:col>21</xdr:col>
      <xdr:colOff>490904</xdr:colOff>
      <xdr:row>74</xdr:row>
      <xdr:rowOff>23447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3393F2E8-9914-418A-F9C7-196781C290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407534</xdr:colOff>
      <xdr:row>4</xdr:row>
      <xdr:rowOff>75310</xdr:rowOff>
    </xdr:from>
    <xdr:to>
      <xdr:col>11</xdr:col>
      <xdr:colOff>113943</xdr:colOff>
      <xdr:row>18</xdr:row>
      <xdr:rowOff>148828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AE25B5-44E6-42D3-A970-709AD22193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13416</xdr:colOff>
      <xdr:row>4</xdr:row>
      <xdr:rowOff>134155</xdr:rowOff>
    </xdr:from>
    <xdr:to>
      <xdr:col>22</xdr:col>
      <xdr:colOff>268310</xdr:colOff>
      <xdr:row>16</xdr:row>
      <xdr:rowOff>73651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57364E-D0C3-4484-8130-5B57A3C58E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38</xdr:col>
      <xdr:colOff>242161</xdr:colOff>
      <xdr:row>4</xdr:row>
      <xdr:rowOff>129152</xdr:rowOff>
    </xdr:from>
    <xdr:to>
      <xdr:col>48</xdr:col>
      <xdr:colOff>193729</xdr:colOff>
      <xdr:row>21</xdr:row>
      <xdr:rowOff>32287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9BF9A07-BA24-0ADA-1590-54713B6AD8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548023</xdr:colOff>
      <xdr:row>4</xdr:row>
      <xdr:rowOff>54533</xdr:rowOff>
    </xdr:from>
    <xdr:to>
      <xdr:col>34</xdr:col>
      <xdr:colOff>243223</xdr:colOff>
      <xdr:row>18</xdr:row>
      <xdr:rowOff>130734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A86AE00-8ACD-6AE0-6135-B9856DB150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286425</xdr:colOff>
      <xdr:row>2</xdr:row>
      <xdr:rowOff>113179</xdr:rowOff>
    </xdr:from>
    <xdr:to>
      <xdr:col>15</xdr:col>
      <xdr:colOff>586182</xdr:colOff>
      <xdr:row>16</xdr:row>
      <xdr:rowOff>110938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5D6B413-9B90-5E32-969A-E8C3318774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389713</xdr:colOff>
      <xdr:row>2</xdr:row>
      <xdr:rowOff>40336</xdr:rowOff>
    </xdr:from>
    <xdr:to>
      <xdr:col>25</xdr:col>
      <xdr:colOff>47726</xdr:colOff>
      <xdr:row>16</xdr:row>
      <xdr:rowOff>38095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F20F06F-3A64-8844-0551-0762EDC757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177416</xdr:colOff>
      <xdr:row>22</xdr:row>
      <xdr:rowOff>10708</xdr:rowOff>
    </xdr:from>
    <xdr:to>
      <xdr:col>15</xdr:col>
      <xdr:colOff>478124</xdr:colOff>
      <xdr:row>36</xdr:row>
      <xdr:rowOff>53148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E9EFA9-8AA0-3D63-18AF-7391EDF2D5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340408</xdr:colOff>
      <xdr:row>21</xdr:row>
      <xdr:rowOff>163292</xdr:rowOff>
    </xdr:from>
    <xdr:to>
      <xdr:col>25</xdr:col>
      <xdr:colOff>8349</xdr:colOff>
      <xdr:row>36</xdr:row>
      <xdr:rowOff>29343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580C433-F408-CEA2-F5C2-A3C85E0AE1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67838</xdr:colOff>
      <xdr:row>41</xdr:row>
      <xdr:rowOff>2803</xdr:rowOff>
    </xdr:from>
    <xdr:to>
      <xdr:col>15</xdr:col>
      <xdr:colOff>412701</xdr:colOff>
      <xdr:row>55</xdr:row>
      <xdr:rowOff>42963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FA74E26-E014-EB82-FB0D-96AEC1473D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229191</xdr:colOff>
      <xdr:row>40</xdr:row>
      <xdr:rowOff>37142</xdr:rowOff>
    </xdr:from>
    <xdr:to>
      <xdr:col>25</xdr:col>
      <xdr:colOff>3102</xdr:colOff>
      <xdr:row>54</xdr:row>
      <xdr:rowOff>147324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B6C38C1-53B4-42C7-3418-0E255E94AB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572891</xdr:colOff>
      <xdr:row>57</xdr:row>
      <xdr:rowOff>90907</xdr:rowOff>
    </xdr:from>
    <xdr:to>
      <xdr:col>15</xdr:col>
      <xdr:colOff>324645</xdr:colOff>
      <xdr:row>71</xdr:row>
      <xdr:rowOff>134414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B70796F-EEB3-57BF-85AB-3BED294C72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219789</xdr:colOff>
      <xdr:row>57</xdr:row>
      <xdr:rowOff>86612</xdr:rowOff>
    </xdr:from>
    <xdr:to>
      <xdr:col>24</xdr:col>
      <xdr:colOff>542173</xdr:colOff>
      <xdr:row>72</xdr:row>
      <xdr:rowOff>3713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1644C47-3A17-ECF3-F513-176DC9D59E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4E0B-02A2-46A7-8812-EE7ABB4B9915}">
  <dimension ref="A2:L68"/>
  <sheetViews>
    <sheetView tabSelected="1" zoomScale="25" zoomScaleNormal="25" workbookViewId="0">
      <selection activeCell="AG26" sqref="AG26"/>
    </sheetView>
  </sheetViews>
  <sheetFormatPr defaultRowHeight="14.5" x14ac:dyDescent="0.35"/>
  <cols>
    <col min="1" max="1" width="21.26953125" customWidth="1"/>
    <col min="2" max="2" width="17.81640625" customWidth="1"/>
    <col min="3" max="3" width="16.81640625" customWidth="1"/>
    <col min="4" max="4" width="31.7265625" customWidth="1"/>
    <col min="5" max="5" width="33" customWidth="1"/>
    <col min="11" max="11" width="6.7265625" customWidth="1"/>
    <col min="12" max="12" width="50.81640625" customWidth="1"/>
  </cols>
  <sheetData>
    <row r="2" spans="1:12" ht="61.5" x14ac:dyDescent="1.35">
      <c r="L2" s="10" t="s">
        <v>86</v>
      </c>
    </row>
    <row r="6" spans="1:12" x14ac:dyDescent="0.35">
      <c r="A6" s="1" t="s">
        <v>87</v>
      </c>
    </row>
    <row r="8" spans="1:12" x14ac:dyDescent="0.35">
      <c r="A8" s="5" t="s">
        <v>74</v>
      </c>
      <c r="B8" s="5" t="s">
        <v>25</v>
      </c>
      <c r="C8" s="5" t="s">
        <v>94</v>
      </c>
      <c r="D8" s="5" t="s">
        <v>24</v>
      </c>
      <c r="E8" s="5" t="s">
        <v>60</v>
      </c>
    </row>
    <row r="9" spans="1:12" x14ac:dyDescent="0.35">
      <c r="A9" s="6" t="s">
        <v>88</v>
      </c>
      <c r="B9" s="5">
        <v>8</v>
      </c>
      <c r="C9" s="5">
        <v>15</v>
      </c>
      <c r="D9" s="5">
        <f>B9</f>
        <v>8</v>
      </c>
      <c r="E9" s="7">
        <f>B9/B15</f>
        <v>7.8431372549019607E-2</v>
      </c>
    </row>
    <row r="10" spans="1:12" x14ac:dyDescent="0.35">
      <c r="A10" s="6" t="s">
        <v>89</v>
      </c>
      <c r="B10" s="5">
        <v>12</v>
      </c>
      <c r="C10" s="5">
        <v>18</v>
      </c>
      <c r="D10" s="5">
        <f>D9+B10</f>
        <v>20</v>
      </c>
      <c r="E10" s="7">
        <f>B10/B15</f>
        <v>0.11764705882352941</v>
      </c>
    </row>
    <row r="11" spans="1:12" x14ac:dyDescent="0.35">
      <c r="A11" s="6" t="s">
        <v>90</v>
      </c>
      <c r="B11" s="5">
        <v>16</v>
      </c>
      <c r="C11" s="5">
        <v>21</v>
      </c>
      <c r="D11" s="5">
        <f>D10+B11</f>
        <v>36</v>
      </c>
      <c r="E11" s="7">
        <f>B11/B15</f>
        <v>0.15686274509803921</v>
      </c>
    </row>
    <row r="12" spans="1:12" x14ac:dyDescent="0.35">
      <c r="A12" s="6" t="s">
        <v>91</v>
      </c>
      <c r="B12" s="5">
        <v>13</v>
      </c>
      <c r="C12" s="5">
        <v>24</v>
      </c>
      <c r="D12" s="5">
        <f>D11+B12</f>
        <v>49</v>
      </c>
      <c r="E12" s="7">
        <f>B12/B15</f>
        <v>0.12745098039215685</v>
      </c>
    </row>
    <row r="13" spans="1:12" x14ac:dyDescent="0.35">
      <c r="A13" s="6" t="s">
        <v>92</v>
      </c>
      <c r="B13" s="5">
        <v>24</v>
      </c>
      <c r="C13" s="5">
        <v>27</v>
      </c>
      <c r="D13" s="5">
        <f>D12+B13</f>
        <v>73</v>
      </c>
      <c r="E13" s="7">
        <f>B13/B15</f>
        <v>0.23529411764705882</v>
      </c>
    </row>
    <row r="14" spans="1:12" x14ac:dyDescent="0.35">
      <c r="A14" s="6" t="s">
        <v>93</v>
      </c>
      <c r="B14" s="5">
        <v>29</v>
      </c>
      <c r="C14" s="5">
        <v>30</v>
      </c>
      <c r="D14" s="5">
        <f>D13+B14</f>
        <v>102</v>
      </c>
      <c r="E14" s="7">
        <f>B14/B15</f>
        <v>0.28431372549019607</v>
      </c>
    </row>
    <row r="15" spans="1:12" x14ac:dyDescent="0.35">
      <c r="A15" s="6"/>
      <c r="B15" s="5">
        <f t="array" ref="B15">SUM(B9:B14)</f>
        <v>102</v>
      </c>
      <c r="C15" s="5"/>
      <c r="D15" s="5"/>
      <c r="E15" s="7">
        <f>B15/B15</f>
        <v>1</v>
      </c>
    </row>
    <row r="23" spans="1:5" x14ac:dyDescent="0.35">
      <c r="A23" s="1" t="s">
        <v>95</v>
      </c>
      <c r="B23" s="1"/>
      <c r="C23" s="1"/>
      <c r="D23" s="1"/>
      <c r="E23" s="1"/>
    </row>
    <row r="24" spans="1:5" x14ac:dyDescent="0.35">
      <c r="A24" s="1"/>
      <c r="B24" s="1"/>
      <c r="C24" s="1"/>
      <c r="D24" s="1"/>
      <c r="E24" s="1"/>
    </row>
    <row r="25" spans="1:5" x14ac:dyDescent="0.35">
      <c r="A25" s="5" t="s">
        <v>53</v>
      </c>
      <c r="B25" s="5" t="s">
        <v>59</v>
      </c>
      <c r="C25" s="5" t="s">
        <v>72</v>
      </c>
      <c r="D25" s="5" t="s">
        <v>96</v>
      </c>
      <c r="E25" s="5" t="s">
        <v>60</v>
      </c>
    </row>
    <row r="26" spans="1:5" x14ac:dyDescent="0.35">
      <c r="A26" s="5" t="s">
        <v>97</v>
      </c>
      <c r="B26" s="5">
        <v>15</v>
      </c>
      <c r="C26" s="5">
        <v>25</v>
      </c>
      <c r="D26" s="5">
        <f>B26</f>
        <v>15</v>
      </c>
      <c r="E26" s="7">
        <f>B26/B31</f>
        <v>0.14285714285714285</v>
      </c>
    </row>
    <row r="27" spans="1:5" x14ac:dyDescent="0.35">
      <c r="A27" s="5" t="s">
        <v>98</v>
      </c>
      <c r="B27" s="5">
        <v>24</v>
      </c>
      <c r="C27" s="5">
        <v>31</v>
      </c>
      <c r="D27" s="5">
        <f>D26+B27</f>
        <v>39</v>
      </c>
      <c r="E27" s="7">
        <f>B27/B31</f>
        <v>0.22857142857142856</v>
      </c>
    </row>
    <row r="28" spans="1:5" x14ac:dyDescent="0.35">
      <c r="A28" s="5" t="s">
        <v>99</v>
      </c>
      <c r="B28" s="5">
        <v>12</v>
      </c>
      <c r="C28" s="5">
        <v>37</v>
      </c>
      <c r="D28" s="5">
        <f>D27+B28</f>
        <v>51</v>
      </c>
      <c r="E28" s="7">
        <f>B28/B31</f>
        <v>0.11428571428571428</v>
      </c>
    </row>
    <row r="29" spans="1:5" x14ac:dyDescent="0.35">
      <c r="A29" s="5" t="s">
        <v>100</v>
      </c>
      <c r="B29" s="5">
        <v>9</v>
      </c>
      <c r="C29" s="5">
        <v>43</v>
      </c>
      <c r="D29" s="5">
        <f>D28+B29</f>
        <v>60</v>
      </c>
      <c r="E29" s="7">
        <f>B29/B31</f>
        <v>8.5714285714285715E-2</v>
      </c>
    </row>
    <row r="30" spans="1:5" x14ac:dyDescent="0.35">
      <c r="A30" s="5" t="s">
        <v>101</v>
      </c>
      <c r="B30" s="5">
        <v>45</v>
      </c>
      <c r="C30" s="5">
        <v>49</v>
      </c>
      <c r="D30" s="5">
        <f>D29+B30</f>
        <v>105</v>
      </c>
      <c r="E30" s="7">
        <f>B30/B31</f>
        <v>0.42857142857142855</v>
      </c>
    </row>
    <row r="31" spans="1:5" x14ac:dyDescent="0.35">
      <c r="A31" s="5"/>
      <c r="B31" s="5">
        <f t="array" ref="B31">SUM(B26:B30)</f>
        <v>105</v>
      </c>
      <c r="C31" s="5"/>
      <c r="D31" s="5"/>
      <c r="E31" s="7">
        <f>B31/B31</f>
        <v>1</v>
      </c>
    </row>
    <row r="45" spans="1:5" x14ac:dyDescent="0.35">
      <c r="A45" s="1" t="s">
        <v>102</v>
      </c>
    </row>
    <row r="47" spans="1:5" x14ac:dyDescent="0.35">
      <c r="A47" s="5" t="s">
        <v>74</v>
      </c>
      <c r="B47" s="5" t="s">
        <v>59</v>
      </c>
      <c r="C47" s="5" t="s">
        <v>72</v>
      </c>
      <c r="D47" s="5" t="s">
        <v>96</v>
      </c>
      <c r="E47" s="5" t="s">
        <v>60</v>
      </c>
    </row>
    <row r="48" spans="1:5" x14ac:dyDescent="0.35">
      <c r="A48" s="5" t="s">
        <v>103</v>
      </c>
      <c r="B48" s="5">
        <v>22</v>
      </c>
      <c r="C48" s="5">
        <v>60</v>
      </c>
      <c r="D48" s="5">
        <f>B48</f>
        <v>22</v>
      </c>
      <c r="E48" s="7">
        <f>B48/B54</f>
        <v>7.1661237785016291E-2</v>
      </c>
    </row>
    <row r="49" spans="1:5" x14ac:dyDescent="0.35">
      <c r="A49" s="5" t="s">
        <v>104</v>
      </c>
      <c r="B49" s="5">
        <v>99</v>
      </c>
      <c r="C49" s="5">
        <v>71</v>
      </c>
      <c r="D49" s="5">
        <f>D48+B49</f>
        <v>121</v>
      </c>
      <c r="E49" s="7">
        <f>B49/B54</f>
        <v>0.32247557003257327</v>
      </c>
    </row>
    <row r="50" spans="1:5" x14ac:dyDescent="0.35">
      <c r="A50" s="5" t="s">
        <v>105</v>
      </c>
      <c r="B50" s="5">
        <v>12</v>
      </c>
      <c r="C50" s="5">
        <v>82</v>
      </c>
      <c r="D50" s="5">
        <f>D49+B50</f>
        <v>133</v>
      </c>
      <c r="E50" s="7">
        <f>B50/B54</f>
        <v>3.9087947882736153E-2</v>
      </c>
    </row>
    <row r="51" spans="1:5" x14ac:dyDescent="0.35">
      <c r="A51" s="5" t="s">
        <v>106</v>
      </c>
      <c r="B51" s="5">
        <v>78</v>
      </c>
      <c r="C51" s="5">
        <v>93</v>
      </c>
      <c r="D51" s="5">
        <f>D50+B51</f>
        <v>211</v>
      </c>
      <c r="E51" s="7">
        <f>B51/B54</f>
        <v>0.25407166123778502</v>
      </c>
    </row>
    <row r="52" spans="1:5" x14ac:dyDescent="0.35">
      <c r="A52" s="5" t="s">
        <v>107</v>
      </c>
      <c r="B52" s="5">
        <v>24</v>
      </c>
      <c r="C52" s="5">
        <v>104</v>
      </c>
      <c r="D52" s="5">
        <f>D51+B52</f>
        <v>235</v>
      </c>
      <c r="E52" s="7">
        <f>B52/B54</f>
        <v>7.8175895765472306E-2</v>
      </c>
    </row>
    <row r="53" spans="1:5" x14ac:dyDescent="0.35">
      <c r="A53" s="5" t="s">
        <v>108</v>
      </c>
      <c r="B53" s="5">
        <v>72</v>
      </c>
      <c r="C53" s="5">
        <v>114</v>
      </c>
      <c r="D53" s="5">
        <f>D52+B53</f>
        <v>307</v>
      </c>
      <c r="E53" s="7">
        <f>B53/B54</f>
        <v>0.23452768729641693</v>
      </c>
    </row>
    <row r="54" spans="1:5" x14ac:dyDescent="0.35">
      <c r="A54" s="5"/>
      <c r="B54" s="5">
        <f>SUM(B48:B53)</f>
        <v>307</v>
      </c>
      <c r="C54" s="5"/>
      <c r="D54" s="5"/>
      <c r="E54" s="7">
        <f>B54/B54</f>
        <v>1</v>
      </c>
    </row>
    <row r="60" spans="1:5" x14ac:dyDescent="0.35">
      <c r="A60" s="1" t="s">
        <v>80</v>
      </c>
      <c r="B60" s="1"/>
      <c r="C60" s="1"/>
      <c r="D60" s="1"/>
      <c r="E60" s="1"/>
    </row>
    <row r="61" spans="1:5" x14ac:dyDescent="0.35">
      <c r="A61" s="1"/>
      <c r="B61" s="1"/>
      <c r="C61" s="1"/>
      <c r="D61" s="1"/>
      <c r="E61" s="1"/>
    </row>
    <row r="62" spans="1:5" x14ac:dyDescent="0.35">
      <c r="A62" s="5" t="s">
        <v>74</v>
      </c>
      <c r="B62" s="5" t="s">
        <v>109</v>
      </c>
      <c r="C62" s="5" t="s">
        <v>72</v>
      </c>
      <c r="D62" s="5" t="s">
        <v>96</v>
      </c>
      <c r="E62" s="5" t="s">
        <v>60</v>
      </c>
    </row>
    <row r="63" spans="1:5" x14ac:dyDescent="0.35">
      <c r="A63" s="5" t="s">
        <v>110</v>
      </c>
      <c r="B63" s="5">
        <v>84</v>
      </c>
      <c r="C63" s="5">
        <v>120</v>
      </c>
      <c r="D63" s="5">
        <f>B63</f>
        <v>84</v>
      </c>
      <c r="E63" s="7">
        <f>B63/B68</f>
        <v>0.20487804878048779</v>
      </c>
    </row>
    <row r="64" spans="1:5" x14ac:dyDescent="0.35">
      <c r="A64" s="5" t="s">
        <v>111</v>
      </c>
      <c r="B64" s="5">
        <v>96</v>
      </c>
      <c r="C64" s="5">
        <v>141</v>
      </c>
      <c r="D64" s="5">
        <f>D63+B64</f>
        <v>180</v>
      </c>
      <c r="E64" s="7">
        <f>B64/B68</f>
        <v>0.23414634146341465</v>
      </c>
    </row>
    <row r="65" spans="1:5" x14ac:dyDescent="0.35">
      <c r="A65" s="5" t="s">
        <v>112</v>
      </c>
      <c r="B65" s="5">
        <v>54</v>
      </c>
      <c r="C65" s="5">
        <v>162</v>
      </c>
      <c r="D65" s="5">
        <f t="shared" ref="D65:D67" si="0">D64+B65</f>
        <v>234</v>
      </c>
      <c r="E65" s="7">
        <f>B65/B68</f>
        <v>0.13170731707317074</v>
      </c>
    </row>
    <row r="66" spans="1:5" x14ac:dyDescent="0.35">
      <c r="A66" s="5" t="s">
        <v>113</v>
      </c>
      <c r="B66" s="5">
        <v>78</v>
      </c>
      <c r="C66" s="5">
        <v>183</v>
      </c>
      <c r="D66" s="5">
        <f t="shared" si="0"/>
        <v>312</v>
      </c>
      <c r="E66" s="7">
        <f>B66/B68</f>
        <v>0.19024390243902439</v>
      </c>
    </row>
    <row r="67" spans="1:5" x14ac:dyDescent="0.35">
      <c r="A67" s="5" t="s">
        <v>114</v>
      </c>
      <c r="B67" s="5">
        <v>98</v>
      </c>
      <c r="C67" s="5">
        <v>204</v>
      </c>
      <c r="D67" s="5">
        <f t="shared" si="0"/>
        <v>410</v>
      </c>
      <c r="E67" s="7">
        <f>B67/B68</f>
        <v>0.23902439024390243</v>
      </c>
    </row>
    <row r="68" spans="1:5" x14ac:dyDescent="0.35">
      <c r="A68" s="5"/>
      <c r="B68" s="5">
        <f>SUM(B63:B67)</f>
        <v>410</v>
      </c>
      <c r="C68" s="5"/>
      <c r="D68" s="5"/>
      <c r="E68" s="7">
        <f>B68/B68</f>
        <v>1</v>
      </c>
    </row>
  </sheetData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22BE8-A39B-4226-9F71-03E2C444074F}">
  <dimension ref="A1:AK17"/>
  <sheetViews>
    <sheetView zoomScale="72" zoomScaleNormal="45" workbookViewId="0">
      <selection activeCell="C15" sqref="C15"/>
    </sheetView>
  </sheetViews>
  <sheetFormatPr defaultRowHeight="14.5" x14ac:dyDescent="0.35"/>
  <cols>
    <col min="1" max="1" width="11.1796875" customWidth="1"/>
    <col min="2" max="2" width="10.26953125" customWidth="1"/>
    <col min="13" max="13" width="11.26953125" customWidth="1"/>
    <col min="14" max="14" width="12.26953125" bestFit="1" customWidth="1"/>
    <col min="20" max="20" width="40.453125" customWidth="1"/>
    <col min="25" max="25" width="19" customWidth="1"/>
    <col min="26" max="26" width="19.7265625" customWidth="1"/>
    <col min="36" max="36" width="31.1796875" customWidth="1"/>
    <col min="37" max="37" width="23.1796875" customWidth="1"/>
  </cols>
  <sheetData>
    <row r="1" spans="1:37" ht="61.5" x14ac:dyDescent="1.35">
      <c r="T1" s="9" t="s">
        <v>115</v>
      </c>
    </row>
    <row r="5" spans="1:37" x14ac:dyDescent="0.35">
      <c r="A5" s="5" t="s">
        <v>23</v>
      </c>
      <c r="B5" s="5" t="s">
        <v>22</v>
      </c>
      <c r="M5" s="5" t="s">
        <v>21</v>
      </c>
      <c r="N5" s="5" t="s">
        <v>20</v>
      </c>
      <c r="Y5" s="5" t="s">
        <v>26</v>
      </c>
      <c r="Z5" s="5" t="s">
        <v>50</v>
      </c>
      <c r="AJ5" s="5" t="s">
        <v>19</v>
      </c>
      <c r="AK5" s="5" t="s">
        <v>27</v>
      </c>
    </row>
    <row r="6" spans="1:37" x14ac:dyDescent="0.35">
      <c r="A6" s="5" t="s">
        <v>18</v>
      </c>
      <c r="B6" s="5">
        <v>29</v>
      </c>
      <c r="M6" s="5" t="s">
        <v>17</v>
      </c>
      <c r="N6" s="5">
        <v>108</v>
      </c>
      <c r="Y6" s="5" t="s">
        <v>39</v>
      </c>
      <c r="Z6" s="5">
        <v>14</v>
      </c>
      <c r="AJ6" s="5" t="s">
        <v>28</v>
      </c>
      <c r="AK6" s="8">
        <v>22</v>
      </c>
    </row>
    <row r="7" spans="1:37" x14ac:dyDescent="0.35">
      <c r="A7" s="5" t="s">
        <v>16</v>
      </c>
      <c r="B7" s="5">
        <v>27</v>
      </c>
      <c r="M7" s="5" t="s">
        <v>15</v>
      </c>
      <c r="N7" s="5">
        <v>102</v>
      </c>
      <c r="Y7" s="5" t="s">
        <v>40</v>
      </c>
      <c r="Z7" s="5">
        <v>22</v>
      </c>
      <c r="AJ7" s="5" t="s">
        <v>29</v>
      </c>
      <c r="AK7" s="8">
        <v>12</v>
      </c>
    </row>
    <row r="8" spans="1:37" x14ac:dyDescent="0.35">
      <c r="A8" s="5" t="s">
        <v>14</v>
      </c>
      <c r="B8" s="5">
        <v>49</v>
      </c>
      <c r="M8" s="5" t="s">
        <v>13</v>
      </c>
      <c r="N8" s="5">
        <v>108</v>
      </c>
      <c r="Y8" s="5" t="s">
        <v>41</v>
      </c>
      <c r="Z8" s="5">
        <v>21</v>
      </c>
      <c r="AJ8" s="5" t="s">
        <v>30</v>
      </c>
      <c r="AK8" s="8">
        <v>14</v>
      </c>
    </row>
    <row r="9" spans="1:37" x14ac:dyDescent="0.35">
      <c r="A9" s="5" t="s">
        <v>12</v>
      </c>
      <c r="B9" s="5">
        <v>43</v>
      </c>
      <c r="M9" s="5" t="s">
        <v>11</v>
      </c>
      <c r="N9" s="5">
        <v>102</v>
      </c>
      <c r="Y9" s="5" t="s">
        <v>42</v>
      </c>
      <c r="Z9" s="5">
        <v>20</v>
      </c>
      <c r="AJ9" s="5" t="s">
        <v>31</v>
      </c>
      <c r="AK9" s="8">
        <v>18</v>
      </c>
    </row>
    <row r="10" spans="1:37" x14ac:dyDescent="0.35">
      <c r="A10" s="5" t="s">
        <v>10</v>
      </c>
      <c r="B10" s="5">
        <v>40</v>
      </c>
      <c r="M10" s="5" t="s">
        <v>9</v>
      </c>
      <c r="N10" s="5">
        <v>109</v>
      </c>
      <c r="Y10" s="5" t="s">
        <v>43</v>
      </c>
      <c r="Z10" s="5">
        <v>30</v>
      </c>
      <c r="AJ10" s="5" t="s">
        <v>32</v>
      </c>
      <c r="AK10" s="8">
        <v>16</v>
      </c>
    </row>
    <row r="11" spans="1:37" x14ac:dyDescent="0.35">
      <c r="A11" s="5" t="s">
        <v>8</v>
      </c>
      <c r="B11" s="5">
        <v>24</v>
      </c>
      <c r="M11" s="5" t="s">
        <v>7</v>
      </c>
      <c r="N11" s="5">
        <v>102</v>
      </c>
      <c r="Y11" s="5" t="s">
        <v>44</v>
      </c>
      <c r="Z11" s="5">
        <v>10</v>
      </c>
      <c r="AJ11" s="5" t="s">
        <v>33</v>
      </c>
      <c r="AK11" s="8">
        <v>21</v>
      </c>
    </row>
    <row r="12" spans="1:37" x14ac:dyDescent="0.35">
      <c r="A12" s="5" t="s">
        <v>6</v>
      </c>
      <c r="B12" s="5">
        <v>35</v>
      </c>
      <c r="M12" s="5" t="s">
        <v>5</v>
      </c>
      <c r="N12" s="5">
        <v>106</v>
      </c>
      <c r="Y12" s="5" t="s">
        <v>45</v>
      </c>
      <c r="Z12" s="5">
        <v>27</v>
      </c>
      <c r="AJ12" s="5" t="s">
        <v>34</v>
      </c>
      <c r="AK12" s="8">
        <v>25</v>
      </c>
    </row>
    <row r="13" spans="1:37" x14ac:dyDescent="0.35">
      <c r="A13" s="5" t="s">
        <v>4</v>
      </c>
      <c r="B13" s="5">
        <v>26</v>
      </c>
      <c r="Y13" s="5" t="s">
        <v>46</v>
      </c>
      <c r="Z13" s="5">
        <v>22</v>
      </c>
      <c r="AJ13" s="5" t="s">
        <v>35</v>
      </c>
      <c r="AK13" s="8">
        <v>28</v>
      </c>
    </row>
    <row r="14" spans="1:37" x14ac:dyDescent="0.35">
      <c r="A14" s="5" t="s">
        <v>3</v>
      </c>
      <c r="B14" s="5">
        <v>26</v>
      </c>
      <c r="Y14" s="5" t="s">
        <v>47</v>
      </c>
      <c r="Z14" s="5">
        <v>16</v>
      </c>
      <c r="AJ14" s="5" t="s">
        <v>36</v>
      </c>
      <c r="AK14" s="8">
        <v>26</v>
      </c>
    </row>
    <row r="15" spans="1:37" x14ac:dyDescent="0.35">
      <c r="A15" s="5" t="s">
        <v>2</v>
      </c>
      <c r="B15" s="5">
        <v>38</v>
      </c>
      <c r="Y15" s="5" t="s">
        <v>48</v>
      </c>
      <c r="Z15" s="5">
        <v>29</v>
      </c>
      <c r="AJ15" s="5" t="s">
        <v>37</v>
      </c>
      <c r="AK15" s="8">
        <v>24</v>
      </c>
    </row>
    <row r="16" spans="1:37" x14ac:dyDescent="0.35">
      <c r="A16" s="5" t="s">
        <v>1</v>
      </c>
      <c r="B16" s="5">
        <v>31</v>
      </c>
      <c r="Y16" s="5" t="s">
        <v>49</v>
      </c>
      <c r="Z16" s="5">
        <v>17</v>
      </c>
      <c r="AJ16" s="5" t="s">
        <v>38</v>
      </c>
      <c r="AK16" s="8">
        <v>23</v>
      </c>
    </row>
    <row r="17" spans="1:37" x14ac:dyDescent="0.35">
      <c r="A17" s="5" t="s">
        <v>0</v>
      </c>
      <c r="B17" s="5">
        <v>48</v>
      </c>
      <c r="AJ17" s="5" t="s">
        <v>30</v>
      </c>
      <c r="AK17" s="8">
        <v>19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EE4E4-97E6-45BD-93A9-228E5455B5CB}">
  <dimension ref="A2:K67"/>
  <sheetViews>
    <sheetView zoomScale="40" zoomScaleNormal="40" workbookViewId="0">
      <selection activeCell="I15" sqref="I15"/>
    </sheetView>
  </sheetViews>
  <sheetFormatPr defaultRowHeight="14.5" x14ac:dyDescent="0.35"/>
  <cols>
    <col min="1" max="1" width="26.26953125" customWidth="1"/>
    <col min="2" max="2" width="23.26953125" customWidth="1"/>
    <col min="3" max="3" width="22.7265625" customWidth="1"/>
    <col min="4" max="4" width="27.7265625" customWidth="1"/>
    <col min="5" max="5" width="36.453125" customWidth="1"/>
    <col min="6" max="6" width="35.1796875" customWidth="1"/>
    <col min="7" max="7" width="52" customWidth="1"/>
    <col min="11" max="11" width="36.7265625" customWidth="1"/>
  </cols>
  <sheetData>
    <row r="2" spans="1:11" ht="61.5" x14ac:dyDescent="1.35">
      <c r="K2" s="13" t="s">
        <v>51</v>
      </c>
    </row>
    <row r="4" spans="1:11" x14ac:dyDescent="0.35">
      <c r="A4" s="1" t="s">
        <v>52</v>
      </c>
      <c r="B4" s="1"/>
      <c r="C4" s="1"/>
      <c r="D4" s="1"/>
      <c r="E4" s="1"/>
      <c r="F4" s="1"/>
      <c r="G4" s="1"/>
    </row>
    <row r="5" spans="1:11" x14ac:dyDescent="0.35">
      <c r="A5" s="1"/>
      <c r="B5" s="1"/>
      <c r="C5" s="1"/>
      <c r="D5" s="1"/>
      <c r="E5" s="1"/>
      <c r="F5" s="1"/>
      <c r="G5" s="1"/>
    </row>
    <row r="6" spans="1:11" x14ac:dyDescent="0.35">
      <c r="A6" s="5" t="s">
        <v>53</v>
      </c>
      <c r="B6" s="5" t="s">
        <v>59</v>
      </c>
      <c r="C6" s="5" t="s">
        <v>60</v>
      </c>
      <c r="D6" s="5" t="s">
        <v>61</v>
      </c>
      <c r="E6" s="5" t="s">
        <v>65</v>
      </c>
      <c r="F6" s="5" t="s">
        <v>116</v>
      </c>
      <c r="G6" s="5" t="s">
        <v>64</v>
      </c>
    </row>
    <row r="7" spans="1:11" x14ac:dyDescent="0.35">
      <c r="A7" s="6" t="s">
        <v>63</v>
      </c>
      <c r="B7" s="5">
        <v>8</v>
      </c>
      <c r="C7" s="5">
        <f t="array" ref="C7">B7/B14</f>
        <v>4.3956043956043959E-2</v>
      </c>
      <c r="D7" s="5">
        <v>7.5</v>
      </c>
      <c r="E7" s="5">
        <v>10</v>
      </c>
      <c r="F7" s="5">
        <f>B7</f>
        <v>8</v>
      </c>
      <c r="G7" s="7">
        <f t="array" ref="G7">F7/$F$13</f>
        <v>4.3956043956043959E-2</v>
      </c>
    </row>
    <row r="8" spans="1:11" x14ac:dyDescent="0.35">
      <c r="A8" s="6" t="s">
        <v>62</v>
      </c>
      <c r="B8" s="5">
        <v>12</v>
      </c>
      <c r="C8" s="5">
        <f>B8/B14</f>
        <v>6.5934065934065936E-2</v>
      </c>
      <c r="D8" s="5">
        <v>13.5</v>
      </c>
      <c r="E8" s="5">
        <v>16</v>
      </c>
      <c r="F8" s="5">
        <f t="array" ref="F8">F7+B8</f>
        <v>20</v>
      </c>
      <c r="G8" s="7">
        <f t="shared" ref="G8:G13" si="0">F8/$F$13</f>
        <v>0.10989010989010989</v>
      </c>
    </row>
    <row r="9" spans="1:11" x14ac:dyDescent="0.35">
      <c r="A9" s="6" t="s">
        <v>54</v>
      </c>
      <c r="B9" s="5">
        <v>18</v>
      </c>
      <c r="C9" s="5">
        <f>B9/B14</f>
        <v>9.8901098901098897E-2</v>
      </c>
      <c r="D9" s="5">
        <v>19.5</v>
      </c>
      <c r="E9" s="5">
        <v>22</v>
      </c>
      <c r="F9" s="5">
        <f>F8+B9</f>
        <v>38</v>
      </c>
      <c r="G9" s="7">
        <f t="shared" si="0"/>
        <v>0.2087912087912088</v>
      </c>
    </row>
    <row r="10" spans="1:11" x14ac:dyDescent="0.35">
      <c r="A10" s="6" t="s">
        <v>55</v>
      </c>
      <c r="B10" s="5">
        <v>25</v>
      </c>
      <c r="C10" s="5">
        <f>B10/B14</f>
        <v>0.13736263736263737</v>
      </c>
      <c r="D10" s="5">
        <v>25.5</v>
      </c>
      <c r="E10" s="5">
        <v>28</v>
      </c>
      <c r="F10" s="5">
        <f>F9+B10</f>
        <v>63</v>
      </c>
      <c r="G10" s="7">
        <f t="shared" si="0"/>
        <v>0.34615384615384615</v>
      </c>
    </row>
    <row r="11" spans="1:11" x14ac:dyDescent="0.35">
      <c r="A11" s="6" t="s">
        <v>56</v>
      </c>
      <c r="B11" s="5">
        <v>32</v>
      </c>
      <c r="C11" s="5">
        <f>B11/B14</f>
        <v>0.17582417582417584</v>
      </c>
      <c r="D11" s="5">
        <v>31.5</v>
      </c>
      <c r="E11" s="5">
        <v>34</v>
      </c>
      <c r="F11" s="5">
        <f>F10+B11</f>
        <v>95</v>
      </c>
      <c r="G11" s="7">
        <f t="shared" si="0"/>
        <v>0.52197802197802201</v>
      </c>
    </row>
    <row r="12" spans="1:11" x14ac:dyDescent="0.35">
      <c r="A12" s="6" t="s">
        <v>57</v>
      </c>
      <c r="B12" s="5">
        <v>42</v>
      </c>
      <c r="C12" s="5">
        <f>B12/B14</f>
        <v>0.23076923076923078</v>
      </c>
      <c r="D12" s="5">
        <v>37.5</v>
      </c>
      <c r="E12" s="5">
        <v>40</v>
      </c>
      <c r="F12" s="5">
        <f>F11+B12</f>
        <v>137</v>
      </c>
      <c r="G12" s="7">
        <f t="shared" si="0"/>
        <v>0.75274725274725274</v>
      </c>
    </row>
    <row r="13" spans="1:11" x14ac:dyDescent="0.35">
      <c r="A13" s="6" t="s">
        <v>58</v>
      </c>
      <c r="B13" s="5">
        <v>45</v>
      </c>
      <c r="C13" s="5">
        <f>B13/B14</f>
        <v>0.24725274725274726</v>
      </c>
      <c r="D13" s="5">
        <v>43.5</v>
      </c>
      <c r="E13" s="5">
        <v>46</v>
      </c>
      <c r="F13" s="5">
        <f>F12+B13</f>
        <v>182</v>
      </c>
      <c r="G13" s="7">
        <f t="shared" si="0"/>
        <v>1</v>
      </c>
    </row>
    <row r="14" spans="1:11" x14ac:dyDescent="0.35">
      <c r="A14" s="5"/>
      <c r="B14" s="5">
        <f t="array" ref="B14">SUM(B7:B13)</f>
        <v>182</v>
      </c>
      <c r="C14" s="5">
        <f>B14/B14</f>
        <v>1</v>
      </c>
      <c r="D14" s="5"/>
      <c r="E14" s="5"/>
      <c r="F14" s="5"/>
      <c r="G14" s="5"/>
    </row>
    <row r="16" spans="1:11" x14ac:dyDescent="0.35">
      <c r="A16" s="2"/>
    </row>
    <row r="18" spans="1:7" x14ac:dyDescent="0.35">
      <c r="A18" s="4"/>
    </row>
    <row r="19" spans="1:7" x14ac:dyDescent="0.35">
      <c r="A19" s="3"/>
    </row>
    <row r="20" spans="1:7" x14ac:dyDescent="0.35">
      <c r="A20" s="2"/>
    </row>
    <row r="21" spans="1:7" x14ac:dyDescent="0.35">
      <c r="A21" s="2"/>
    </row>
    <row r="22" spans="1:7" x14ac:dyDescent="0.35">
      <c r="A22" s="2"/>
    </row>
    <row r="23" spans="1:7" x14ac:dyDescent="0.35">
      <c r="A23" s="2"/>
    </row>
    <row r="24" spans="1:7" x14ac:dyDescent="0.35">
      <c r="A24" s="11" t="s">
        <v>66</v>
      </c>
      <c r="B24" s="1"/>
      <c r="C24" s="1"/>
      <c r="D24" s="1"/>
      <c r="E24" s="1"/>
      <c r="F24" s="1"/>
      <c r="G24" s="1"/>
    </row>
    <row r="25" spans="1:7" x14ac:dyDescent="0.35">
      <c r="A25" s="11"/>
      <c r="B25" s="1"/>
      <c r="C25" s="1"/>
      <c r="D25" s="1"/>
      <c r="E25" s="1"/>
      <c r="F25" s="1"/>
      <c r="G25" s="1"/>
    </row>
    <row r="26" spans="1:7" x14ac:dyDescent="0.35">
      <c r="A26" s="5" t="s">
        <v>53</v>
      </c>
      <c r="B26" s="5" t="s">
        <v>59</v>
      </c>
      <c r="C26" s="5" t="s">
        <v>60</v>
      </c>
      <c r="D26" s="5" t="s">
        <v>61</v>
      </c>
      <c r="E26" s="5" t="s">
        <v>72</v>
      </c>
      <c r="F26" s="5" t="s">
        <v>24</v>
      </c>
      <c r="G26" s="5" t="s">
        <v>64</v>
      </c>
    </row>
    <row r="27" spans="1:7" x14ac:dyDescent="0.35">
      <c r="A27" s="6" t="s">
        <v>67</v>
      </c>
      <c r="B27" s="5">
        <v>12</v>
      </c>
      <c r="C27" s="5">
        <f>B27/B32</f>
        <v>0.1875</v>
      </c>
      <c r="D27" s="5">
        <v>22</v>
      </c>
      <c r="E27" s="5">
        <v>23</v>
      </c>
      <c r="F27" s="5">
        <f>B27</f>
        <v>12</v>
      </c>
      <c r="G27" s="7">
        <f>F27/F31</f>
        <v>0.1875</v>
      </c>
    </row>
    <row r="28" spans="1:7" x14ac:dyDescent="0.35">
      <c r="A28" s="6" t="s">
        <v>68</v>
      </c>
      <c r="B28" s="5">
        <v>14</v>
      </c>
      <c r="C28" s="5">
        <f>B28/B32</f>
        <v>0.21875</v>
      </c>
      <c r="D28" s="5">
        <v>25</v>
      </c>
      <c r="E28" s="5">
        <v>26</v>
      </c>
      <c r="F28" s="5">
        <f t="array" ref="F28">F27+B28</f>
        <v>26</v>
      </c>
      <c r="G28" s="7">
        <f>F28/F31</f>
        <v>0.40625</v>
      </c>
    </row>
    <row r="29" spans="1:7" x14ac:dyDescent="0.35">
      <c r="A29" s="12" t="s">
        <v>69</v>
      </c>
      <c r="B29" s="5">
        <v>8</v>
      </c>
      <c r="C29" s="5">
        <f>B29/B32</f>
        <v>0.125</v>
      </c>
      <c r="D29" s="5">
        <v>28</v>
      </c>
      <c r="E29" s="5">
        <v>29</v>
      </c>
      <c r="F29" s="5">
        <f t="array" ref="F29">F28+B29</f>
        <v>34</v>
      </c>
      <c r="G29" s="7">
        <f>F29/F31</f>
        <v>0.53125</v>
      </c>
    </row>
    <row r="30" spans="1:7" x14ac:dyDescent="0.35">
      <c r="A30" s="6" t="s">
        <v>70</v>
      </c>
      <c r="B30" s="5">
        <v>7</v>
      </c>
      <c r="C30" s="5">
        <f>B30/B32</f>
        <v>0.109375</v>
      </c>
      <c r="D30" s="5">
        <v>31</v>
      </c>
      <c r="E30" s="5">
        <v>32</v>
      </c>
      <c r="F30" s="5">
        <f t="array" ref="F30">F29+B30</f>
        <v>41</v>
      </c>
      <c r="G30" s="7">
        <f>F30/F31</f>
        <v>0.640625</v>
      </c>
    </row>
    <row r="31" spans="1:7" x14ac:dyDescent="0.35">
      <c r="A31" s="6" t="s">
        <v>71</v>
      </c>
      <c r="B31" s="5">
        <v>23</v>
      </c>
      <c r="C31" s="5">
        <f>B31/B32</f>
        <v>0.359375</v>
      </c>
      <c r="D31" s="5">
        <v>34</v>
      </c>
      <c r="E31" s="5">
        <v>35</v>
      </c>
      <c r="F31" s="5">
        <f t="array" ref="F31">F30+B31</f>
        <v>64</v>
      </c>
      <c r="G31" s="7">
        <f>F31/F31</f>
        <v>1</v>
      </c>
    </row>
    <row r="32" spans="1:7" x14ac:dyDescent="0.35">
      <c r="A32" s="6"/>
      <c r="B32" s="5">
        <f>SUM(B27:B31)</f>
        <v>64</v>
      </c>
      <c r="C32" s="5">
        <f>B32/B32</f>
        <v>1</v>
      </c>
      <c r="D32" s="5"/>
      <c r="E32" s="5"/>
      <c r="F32" s="5"/>
      <c r="G32" s="5"/>
    </row>
    <row r="43" spans="1:7" x14ac:dyDescent="0.35">
      <c r="A43" s="1" t="s">
        <v>73</v>
      </c>
    </row>
    <row r="45" spans="1:7" x14ac:dyDescent="0.35">
      <c r="A45" s="5" t="s">
        <v>74</v>
      </c>
      <c r="B45" s="5" t="s">
        <v>59</v>
      </c>
      <c r="C45" s="5" t="s">
        <v>60</v>
      </c>
      <c r="D45" s="5" t="s">
        <v>61</v>
      </c>
      <c r="E45" s="5" t="s">
        <v>72</v>
      </c>
      <c r="F45" s="5" t="s">
        <v>24</v>
      </c>
      <c r="G45" s="5" t="s">
        <v>64</v>
      </c>
    </row>
    <row r="46" spans="1:7" x14ac:dyDescent="0.35">
      <c r="A46" s="5" t="s">
        <v>75</v>
      </c>
      <c r="B46" s="5">
        <v>55</v>
      </c>
      <c r="C46" s="5">
        <f>B46/B51</f>
        <v>0.22</v>
      </c>
      <c r="D46" s="5">
        <v>152.5</v>
      </c>
      <c r="E46" s="5">
        <v>155</v>
      </c>
      <c r="F46" s="5">
        <f>B46</f>
        <v>55</v>
      </c>
      <c r="G46" s="7">
        <f>F46/F50</f>
        <v>0.22</v>
      </c>
    </row>
    <row r="47" spans="1:7" x14ac:dyDescent="0.35">
      <c r="A47" s="5" t="s">
        <v>76</v>
      </c>
      <c r="B47" s="5">
        <v>45</v>
      </c>
      <c r="C47" s="5">
        <f>B47/B51</f>
        <v>0.18</v>
      </c>
      <c r="D47" s="5">
        <v>158.5</v>
      </c>
      <c r="E47" s="5">
        <v>161</v>
      </c>
      <c r="F47" s="5">
        <f t="array" ref="F47">F46+B47</f>
        <v>100</v>
      </c>
      <c r="G47" s="7">
        <f>F47/F50</f>
        <v>0.4</v>
      </c>
    </row>
    <row r="48" spans="1:7" x14ac:dyDescent="0.35">
      <c r="A48" s="5" t="s">
        <v>77</v>
      </c>
      <c r="B48" s="5">
        <v>48</v>
      </c>
      <c r="C48" s="5">
        <f>B48/B51</f>
        <v>0.192</v>
      </c>
      <c r="D48" s="5">
        <v>164.5</v>
      </c>
      <c r="E48" s="5">
        <v>167</v>
      </c>
      <c r="F48" s="5">
        <f t="array" ref="F48">F47+B48</f>
        <v>148</v>
      </c>
      <c r="G48" s="7">
        <f>F48/F50</f>
        <v>0.59199999999999997</v>
      </c>
    </row>
    <row r="49" spans="1:7" x14ac:dyDescent="0.35">
      <c r="A49" s="5" t="s">
        <v>78</v>
      </c>
      <c r="B49" s="5">
        <v>62</v>
      </c>
      <c r="C49" s="5">
        <f>B49/B51</f>
        <v>0.248</v>
      </c>
      <c r="D49" s="5">
        <v>170.5</v>
      </c>
      <c r="E49" s="5">
        <v>173</v>
      </c>
      <c r="F49" s="5">
        <f t="array" ref="F49">F48+B49</f>
        <v>210</v>
      </c>
      <c r="G49" s="7">
        <f>F49/F50</f>
        <v>0.84</v>
      </c>
    </row>
    <row r="50" spans="1:7" x14ac:dyDescent="0.35">
      <c r="A50" s="5" t="s">
        <v>79</v>
      </c>
      <c r="B50" s="5">
        <v>40</v>
      </c>
      <c r="C50" s="5">
        <f>B50/B51</f>
        <v>0.16</v>
      </c>
      <c r="D50" s="5">
        <v>176.5</v>
      </c>
      <c r="E50" s="5">
        <v>179</v>
      </c>
      <c r="F50" s="5">
        <f t="array" ref="F50">F49+B50</f>
        <v>250</v>
      </c>
      <c r="G50" s="7">
        <f>F50/F50</f>
        <v>1</v>
      </c>
    </row>
    <row r="51" spans="1:7" x14ac:dyDescent="0.35">
      <c r="A51" s="5"/>
      <c r="B51" s="5">
        <f>SUM(B46:B50)</f>
        <v>250</v>
      </c>
      <c r="C51" s="5">
        <f>B51/B51</f>
        <v>1</v>
      </c>
      <c r="D51" s="5"/>
      <c r="E51" s="5"/>
      <c r="F51" s="5"/>
      <c r="G51" s="5"/>
    </row>
    <row r="59" spans="1:7" x14ac:dyDescent="0.35">
      <c r="A59" s="1" t="s">
        <v>80</v>
      </c>
      <c r="B59" s="1"/>
      <c r="C59" s="1"/>
      <c r="D59" s="1"/>
      <c r="E59" s="1"/>
      <c r="F59" s="1"/>
      <c r="G59" s="1"/>
    </row>
    <row r="60" spans="1:7" x14ac:dyDescent="0.35">
      <c r="A60" s="1"/>
      <c r="B60" s="1"/>
      <c r="C60" s="1"/>
      <c r="D60" s="1"/>
      <c r="E60" s="1"/>
      <c r="F60" s="1"/>
      <c r="G60" s="1"/>
    </row>
    <row r="61" spans="1:7" x14ac:dyDescent="0.35">
      <c r="A61" s="5" t="s">
        <v>74</v>
      </c>
      <c r="B61" s="5" t="s">
        <v>59</v>
      </c>
      <c r="C61" s="5" t="s">
        <v>60</v>
      </c>
      <c r="D61" s="5" t="s">
        <v>61</v>
      </c>
      <c r="E61" s="5" t="s">
        <v>72</v>
      </c>
      <c r="F61" s="5" t="s">
        <v>24</v>
      </c>
      <c r="G61" s="5" t="s">
        <v>64</v>
      </c>
    </row>
    <row r="62" spans="1:7" x14ac:dyDescent="0.35">
      <c r="A62" s="5" t="s">
        <v>81</v>
      </c>
      <c r="B62" s="5">
        <v>85</v>
      </c>
      <c r="C62" s="5">
        <f>B62/B67</f>
        <v>0.18888888888888888</v>
      </c>
      <c r="D62" s="5">
        <v>183</v>
      </c>
      <c r="E62" s="5">
        <v>184</v>
      </c>
      <c r="F62" s="5">
        <f>B62</f>
        <v>85</v>
      </c>
      <c r="G62" s="7">
        <f>F62/F66</f>
        <v>0.18888888888888888</v>
      </c>
    </row>
    <row r="63" spans="1:7" x14ac:dyDescent="0.35">
      <c r="A63" s="5" t="s">
        <v>82</v>
      </c>
      <c r="B63" s="5">
        <v>105</v>
      </c>
      <c r="C63" s="5">
        <f>B63/B67</f>
        <v>0.23333333333333334</v>
      </c>
      <c r="D63" s="5">
        <v>186</v>
      </c>
      <c r="E63" s="5">
        <v>187</v>
      </c>
      <c r="F63" s="5">
        <f>F62+B63</f>
        <v>190</v>
      </c>
      <c r="G63" s="7">
        <f>F63/F66</f>
        <v>0.42222222222222222</v>
      </c>
    </row>
    <row r="64" spans="1:7" x14ac:dyDescent="0.35">
      <c r="A64" s="5" t="s">
        <v>83</v>
      </c>
      <c r="B64" s="5">
        <v>102</v>
      </c>
      <c r="C64" s="5">
        <f>B64/B67</f>
        <v>0.22666666666666666</v>
      </c>
      <c r="D64" s="5">
        <v>189</v>
      </c>
      <c r="E64" s="5">
        <v>190</v>
      </c>
      <c r="F64" s="5">
        <f t="shared" ref="F64:F66" si="1">F63+B64</f>
        <v>292</v>
      </c>
      <c r="G64" s="7">
        <f>F64/F66</f>
        <v>0.64888888888888885</v>
      </c>
    </row>
    <row r="65" spans="1:7" x14ac:dyDescent="0.35">
      <c r="A65" s="5" t="s">
        <v>84</v>
      </c>
      <c r="B65" s="5">
        <v>96</v>
      </c>
      <c r="C65" s="5">
        <f>B65/B67</f>
        <v>0.21333333333333335</v>
      </c>
      <c r="D65" s="5">
        <v>192</v>
      </c>
      <c r="E65" s="5">
        <v>193</v>
      </c>
      <c r="F65" s="5">
        <f t="shared" si="1"/>
        <v>388</v>
      </c>
      <c r="G65" s="7">
        <f>F65/F66</f>
        <v>0.86222222222222222</v>
      </c>
    </row>
    <row r="66" spans="1:7" x14ac:dyDescent="0.35">
      <c r="A66" s="5" t="s">
        <v>85</v>
      </c>
      <c r="B66" s="5">
        <v>62</v>
      </c>
      <c r="C66" s="5">
        <f>B66/B67</f>
        <v>0.13777777777777778</v>
      </c>
      <c r="D66" s="5">
        <v>195</v>
      </c>
      <c r="E66" s="5">
        <v>196</v>
      </c>
      <c r="F66" s="5">
        <f t="shared" si="1"/>
        <v>450</v>
      </c>
      <c r="G66" s="7">
        <f>F66/F66</f>
        <v>1</v>
      </c>
    </row>
    <row r="67" spans="1:7" x14ac:dyDescent="0.35">
      <c r="A67" s="5"/>
      <c r="B67" s="5">
        <f>SUM(B62:B66)</f>
        <v>450</v>
      </c>
      <c r="C67" s="5">
        <f>B67/B67</f>
        <v>1</v>
      </c>
      <c r="D67" s="5"/>
      <c r="E67" s="5"/>
      <c r="F67" s="5"/>
      <c r="G67" s="5"/>
    </row>
  </sheetData>
  <phoneticPr fontId="3" type="noConversion"/>
  <conditionalFormatting sqref="A27:A32">
    <cfRule type="duplicateValues" dxfId="0" priority="3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HISTOGRAM</vt:lpstr>
      <vt:lpstr>Pie Chart</vt:lpstr>
      <vt:lpstr>OGIVES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Kasim Khan</dc:creator>
  <cp:lastModifiedBy>Ibrahim Khan</cp:lastModifiedBy>
  <dcterms:created xsi:type="dcterms:W3CDTF">2025-09-30T17:00:21Z</dcterms:created>
  <dcterms:modified xsi:type="dcterms:W3CDTF">2026-02-11T16:39:35Z</dcterms:modified>
</cp:coreProperties>
</file>