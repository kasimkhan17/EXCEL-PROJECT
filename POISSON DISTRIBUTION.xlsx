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brah\Desktop\KASIM\"/>
    </mc:Choice>
  </mc:AlternateContent>
  <xr:revisionPtr revIDLastSave="0" documentId="13_ncr:1_{03F8465C-874F-4C71-A159-FE6FBD611C3D}" xr6:coauthVersionLast="47" xr6:coauthVersionMax="47" xr10:uidLastSave="{00000000-0000-0000-0000-000000000000}"/>
  <bookViews>
    <workbookView xWindow="-120" yWindow="-120" windowWidth="20730" windowHeight="11040" xr2:uid="{82007ED1-5228-40AE-A48C-6C0A3FCC6A2A}"/>
  </bookViews>
  <sheets>
    <sheet name="poisson distribution 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0" i="1" l="1" a="1"/>
  <c r="G370" i="1" s="1"/>
  <c r="G369" i="1" a="1"/>
  <c r="G369" i="1" s="1"/>
  <c r="G368" i="1" a="1"/>
  <c r="G368" i="1" s="1"/>
  <c r="G367" i="1" a="1"/>
  <c r="G367" i="1" s="1"/>
  <c r="G366" i="1" a="1"/>
  <c r="G366" i="1" s="1"/>
  <c r="G365" i="1" a="1"/>
  <c r="G365" i="1" s="1"/>
  <c r="G364" i="1" a="1"/>
  <c r="G364" i="1" s="1"/>
  <c r="G363" i="1" a="1"/>
  <c r="G363" i="1" s="1"/>
  <c r="G362" i="1" a="1"/>
  <c r="G362" i="1" s="1"/>
  <c r="G361" i="1" a="1"/>
  <c r="G361" i="1" s="1"/>
  <c r="G360" i="1" a="1"/>
  <c r="G360" i="1" s="1"/>
  <c r="G359" i="1" a="1"/>
  <c r="G359" i="1" s="1"/>
  <c r="G358" i="1" a="1"/>
  <c r="G358" i="1" s="1"/>
  <c r="G357" i="1" a="1"/>
  <c r="G357" i="1" s="1"/>
  <c r="G356" i="1" a="1"/>
  <c r="G356" i="1" s="1"/>
  <c r="G355" i="1" a="1"/>
  <c r="G355" i="1" s="1"/>
  <c r="G354" i="1" a="1"/>
  <c r="G354" i="1" s="1"/>
  <c r="G353" i="1" a="1"/>
  <c r="G353" i="1" s="1"/>
  <c r="G352" i="1" a="1"/>
  <c r="G352" i="1" s="1"/>
  <c r="G351" i="1" a="1"/>
  <c r="G351" i="1" s="1"/>
  <c r="G350" i="1" a="1"/>
  <c r="G350" i="1" s="1"/>
  <c r="G349" i="1" a="1"/>
  <c r="G349" i="1" s="1"/>
  <c r="G348" i="1" a="1"/>
  <c r="G348" i="1" s="1"/>
  <c r="G347" i="1" a="1"/>
  <c r="G347" i="1" s="1"/>
  <c r="G346" i="1" a="1"/>
  <c r="G346" i="1" s="1"/>
  <c r="G345" i="1" a="1"/>
  <c r="G345" i="1" s="1"/>
  <c r="G344" i="1" a="1"/>
  <c r="G344" i="1" s="1"/>
  <c r="B344" i="1" a="1"/>
  <c r="B344" i="1" s="1"/>
  <c r="B345" i="1" s="1" a="1"/>
  <c r="B345" i="1" s="1"/>
  <c r="G343" i="1" a="1"/>
  <c r="G343" i="1" s="1"/>
  <c r="B343" i="1" a="1"/>
  <c r="B343" i="1" s="1"/>
  <c r="G342" i="1" a="1"/>
  <c r="G342" i="1" s="1"/>
  <c r="F342" i="1" a="1"/>
  <c r="F342" i="1" s="1"/>
  <c r="E342" i="1" a="1"/>
  <c r="E342" i="1" s="1"/>
  <c r="G341" i="1" a="1"/>
  <c r="G341" i="1" s="1"/>
  <c r="F341" i="1" a="1"/>
  <c r="F341" i="1" s="1"/>
  <c r="E341" i="1" a="1"/>
  <c r="E341" i="1" s="1"/>
  <c r="G340" i="1" a="1"/>
  <c r="G340" i="1" s="1"/>
  <c r="F340" i="1" a="1"/>
  <c r="F340" i="1" s="1"/>
  <c r="E340" i="1" a="1"/>
  <c r="E340" i="1" s="1"/>
  <c r="B339" i="1"/>
  <c r="G330" i="1" a="1"/>
  <c r="G330" i="1" s="1"/>
  <c r="G329" i="1" a="1"/>
  <c r="G329" i="1" s="1"/>
  <c r="G328" i="1" a="1"/>
  <c r="G328" i="1" s="1"/>
  <c r="G327" i="1" a="1"/>
  <c r="G327" i="1" s="1"/>
  <c r="G326" i="1" a="1"/>
  <c r="G326" i="1" s="1"/>
  <c r="G325" i="1" a="1"/>
  <c r="G325" i="1" s="1"/>
  <c r="G324" i="1" a="1"/>
  <c r="G324" i="1" s="1"/>
  <c r="G323" i="1" a="1"/>
  <c r="G323" i="1" s="1"/>
  <c r="G322" i="1" a="1"/>
  <c r="G322" i="1" s="1"/>
  <c r="G321" i="1" a="1"/>
  <c r="G321" i="1" s="1"/>
  <c r="G320" i="1" a="1"/>
  <c r="G320" i="1" s="1"/>
  <c r="G319" i="1" a="1"/>
  <c r="G319" i="1" s="1"/>
  <c r="G318" i="1" a="1"/>
  <c r="G318" i="1" s="1"/>
  <c r="G317" i="1" a="1"/>
  <c r="G317" i="1" s="1"/>
  <c r="G316" i="1" a="1"/>
  <c r="G316" i="1" s="1"/>
  <c r="G315" i="1" a="1"/>
  <c r="G315" i="1" s="1"/>
  <c r="G314" i="1" a="1"/>
  <c r="G314" i="1" s="1"/>
  <c r="B314" i="1" a="1"/>
  <c r="B314" i="1" s="1"/>
  <c r="B315" i="1" s="1" a="1"/>
  <c r="B315" i="1" s="1"/>
  <c r="G313" i="1" a="1"/>
  <c r="G313" i="1" s="1"/>
  <c r="B313" i="1" a="1"/>
  <c r="B313" i="1" s="1"/>
  <c r="G312" i="1" a="1"/>
  <c r="G312" i="1" s="1"/>
  <c r="F312" i="1" a="1"/>
  <c r="F312" i="1" s="1"/>
  <c r="E312" i="1" a="1"/>
  <c r="E312" i="1" s="1"/>
  <c r="G311" i="1" a="1"/>
  <c r="G311" i="1" s="1"/>
  <c r="F311" i="1" a="1"/>
  <c r="F311" i="1" s="1"/>
  <c r="E311" i="1" a="1"/>
  <c r="E311" i="1" s="1"/>
  <c r="G310" i="1" a="1"/>
  <c r="G310" i="1" s="1"/>
  <c r="F310" i="1" a="1"/>
  <c r="F310" i="1" s="1"/>
  <c r="E310" i="1" a="1"/>
  <c r="E310" i="1" s="1"/>
  <c r="G309" i="1" a="1"/>
  <c r="G309" i="1" s="1"/>
  <c r="F309" i="1" a="1"/>
  <c r="F309" i="1" s="1"/>
  <c r="E309" i="1" a="1"/>
  <c r="E309" i="1" s="1"/>
  <c r="B309" i="1"/>
  <c r="G308" i="1" a="1"/>
  <c r="G308" i="1" s="1"/>
  <c r="F308" i="1" a="1"/>
  <c r="F308" i="1" s="1"/>
  <c r="E308" i="1" a="1"/>
  <c r="E308" i="1" s="1"/>
  <c r="G307" i="1" a="1"/>
  <c r="G307" i="1" s="1"/>
  <c r="F307" i="1" a="1"/>
  <c r="F307" i="1" s="1"/>
  <c r="E307" i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285" i="1" a="1"/>
  <c r="G285" i="1" s="1"/>
  <c r="G284" i="1" a="1"/>
  <c r="G284" i="1" s="1"/>
  <c r="G283" i="1" a="1"/>
  <c r="G283" i="1" s="1"/>
  <c r="G282" i="1" a="1"/>
  <c r="G282" i="1" s="1"/>
  <c r="G281" i="1" a="1"/>
  <c r="G281" i="1" s="1"/>
  <c r="G280" i="1" a="1"/>
  <c r="G280" i="1" s="1"/>
  <c r="G279" i="1" a="1"/>
  <c r="G279" i="1" s="1"/>
  <c r="G278" i="1" a="1"/>
  <c r="G278" i="1" s="1"/>
  <c r="G277" i="1" a="1"/>
  <c r="G277" i="1" s="1"/>
  <c r="G276" i="1" a="1"/>
  <c r="G276" i="1" s="1"/>
  <c r="G275" i="1" a="1"/>
  <c r="G275" i="1" s="1"/>
  <c r="G274" i="1" a="1"/>
  <c r="G274" i="1" s="1"/>
  <c r="G273" i="1" a="1"/>
  <c r="G273" i="1" s="1"/>
  <c r="G272" i="1" a="1"/>
  <c r="G272" i="1" s="1"/>
  <c r="G271" i="1" a="1"/>
  <c r="G271" i="1" s="1"/>
  <c r="G270" i="1" a="1"/>
  <c r="G270" i="1" s="1"/>
  <c r="G269" i="1" a="1"/>
  <c r="G269" i="1" s="1"/>
  <c r="G268" i="1" a="1"/>
  <c r="G268" i="1" s="1"/>
  <c r="G267" i="1" a="1"/>
  <c r="G267" i="1" s="1"/>
  <c r="G266" i="1" a="1"/>
  <c r="G266" i="1" s="1"/>
  <c r="G265" i="1" a="1"/>
  <c r="G265" i="1" s="1"/>
  <c r="G264" i="1" a="1"/>
  <c r="G264" i="1" s="1"/>
  <c r="G263" i="1" a="1"/>
  <c r="G263" i="1" s="1"/>
  <c r="G262" i="1" a="1"/>
  <c r="G262" i="1" s="1"/>
  <c r="G261" i="1" a="1"/>
  <c r="G261" i="1" s="1"/>
  <c r="G260" i="1" a="1"/>
  <c r="G260" i="1" s="1"/>
  <c r="G259" i="1" a="1"/>
  <c r="G259" i="1" s="1"/>
  <c r="G258" i="1" a="1"/>
  <c r="G258" i="1" s="1"/>
  <c r="G257" i="1" a="1"/>
  <c r="G257" i="1" s="1"/>
  <c r="G256" i="1" a="1"/>
  <c r="G256" i="1" s="1"/>
  <c r="G255" i="1" a="1"/>
  <c r="G255" i="1" s="1"/>
  <c r="G254" i="1" a="1"/>
  <c r="G254" i="1" s="1"/>
  <c r="G253" i="1" a="1"/>
  <c r="G253" i="1" s="1"/>
  <c r="G252" i="1" a="1"/>
  <c r="G252" i="1" s="1"/>
  <c r="G251" i="1" a="1"/>
  <c r="G251" i="1" s="1"/>
  <c r="G250" i="1" a="1"/>
  <c r="G250" i="1" s="1"/>
  <c r="G249" i="1" a="1"/>
  <c r="G249" i="1" s="1"/>
  <c r="G248" i="1" a="1"/>
  <c r="G248" i="1" s="1"/>
  <c r="G247" i="1" a="1"/>
  <c r="G247" i="1" s="1"/>
  <c r="G246" i="1" a="1"/>
  <c r="G246" i="1" s="1"/>
  <c r="G245" i="1" a="1"/>
  <c r="G245" i="1" s="1"/>
  <c r="G244" i="1" a="1"/>
  <c r="G244" i="1" s="1"/>
  <c r="G243" i="1" a="1"/>
  <c r="G243" i="1" s="1"/>
  <c r="G242" i="1" a="1"/>
  <c r="G242" i="1" s="1"/>
  <c r="G241" i="1" a="1"/>
  <c r="G241" i="1" s="1"/>
  <c r="G240" i="1" a="1"/>
  <c r="G240" i="1" s="1"/>
  <c r="G239" i="1" a="1"/>
  <c r="G239" i="1" s="1"/>
  <c r="G238" i="1" a="1"/>
  <c r="G238" i="1" s="1"/>
  <c r="G237" i="1" a="1"/>
  <c r="G237" i="1" s="1"/>
  <c r="G236" i="1" a="1"/>
  <c r="G236" i="1" s="1"/>
  <c r="G235" i="1" a="1"/>
  <c r="G235" i="1" s="1"/>
  <c r="G234" i="1" a="1"/>
  <c r="G234" i="1" s="1"/>
  <c r="G233" i="1" a="1"/>
  <c r="G233" i="1" s="1"/>
  <c r="G232" i="1" a="1"/>
  <c r="G232" i="1" s="1"/>
  <c r="G231" i="1" a="1"/>
  <c r="G231" i="1" s="1"/>
  <c r="G230" i="1" a="1"/>
  <c r="G230" i="1" s="1"/>
  <c r="G229" i="1" a="1"/>
  <c r="G229" i="1" s="1"/>
  <c r="G228" i="1" a="1"/>
  <c r="G228" i="1" s="1"/>
  <c r="G227" i="1" a="1"/>
  <c r="G227" i="1" s="1"/>
  <c r="G226" i="1" a="1"/>
  <c r="G226" i="1" s="1"/>
  <c r="G225" i="1" a="1"/>
  <c r="G225" i="1" s="1"/>
  <c r="G224" i="1" a="1"/>
  <c r="G224" i="1" s="1"/>
  <c r="G223" i="1" a="1"/>
  <c r="G223" i="1" s="1"/>
  <c r="G222" i="1" a="1"/>
  <c r="G222" i="1" s="1"/>
  <c r="G221" i="1" a="1"/>
  <c r="G221" i="1" s="1"/>
  <c r="G220" i="1" a="1"/>
  <c r="G220" i="1" s="1"/>
  <c r="G219" i="1" a="1"/>
  <c r="G219" i="1" s="1"/>
  <c r="G218" i="1" a="1"/>
  <c r="G218" i="1" s="1"/>
  <c r="G217" i="1" a="1"/>
  <c r="G217" i="1" s="1"/>
  <c r="G216" i="1" a="1"/>
  <c r="G216" i="1" s="1"/>
  <c r="G215" i="1" a="1"/>
  <c r="G215" i="1" s="1"/>
  <c r="G214" i="1" a="1"/>
  <c r="G214" i="1" s="1"/>
  <c r="G213" i="1" a="1"/>
  <c r="G213" i="1" s="1"/>
  <c r="G212" i="1" a="1"/>
  <c r="G212" i="1" s="1"/>
  <c r="G211" i="1" a="1"/>
  <c r="G211" i="1" s="1"/>
  <c r="G210" i="1" a="1"/>
  <c r="G210" i="1" s="1"/>
  <c r="G209" i="1" a="1"/>
  <c r="G209" i="1" s="1"/>
  <c r="B209" i="1" a="1"/>
  <c r="B209" i="1" s="1"/>
  <c r="B210" i="1" s="1" a="1"/>
  <c r="B210" i="1" s="1"/>
  <c r="G208" i="1" a="1"/>
  <c r="G208" i="1" s="1"/>
  <c r="B208" i="1"/>
  <c r="G207" i="1" a="1"/>
  <c r="G207" i="1" s="1"/>
  <c r="F207" i="1" a="1"/>
  <c r="F207" i="1" s="1"/>
  <c r="E207" i="1" a="1"/>
  <c r="E207" i="1" s="1"/>
  <c r="G206" i="1" a="1"/>
  <c r="G206" i="1" s="1"/>
  <c r="F206" i="1" a="1"/>
  <c r="F206" i="1" s="1"/>
  <c r="E206" i="1" a="1"/>
  <c r="E206" i="1" s="1"/>
  <c r="G205" i="1" a="1"/>
  <c r="G205" i="1" s="1"/>
  <c r="F205" i="1" a="1"/>
  <c r="F205" i="1" s="1"/>
  <c r="E205" i="1" a="1"/>
  <c r="E205" i="1" s="1"/>
  <c r="G204" i="1" a="1"/>
  <c r="G204" i="1" s="1"/>
  <c r="F204" i="1" a="1"/>
  <c r="F204" i="1" s="1"/>
  <c r="E204" i="1" a="1"/>
  <c r="E204" i="1" s="1"/>
  <c r="B204" i="1" a="1"/>
  <c r="B204" i="1" s="1"/>
  <c r="G203" i="1" a="1"/>
  <c r="G203" i="1" s="1"/>
  <c r="F203" i="1" a="1"/>
  <c r="F203" i="1" s="1"/>
  <c r="E203" i="1" a="1"/>
  <c r="E203" i="1" s="1"/>
  <c r="G202" i="1" a="1"/>
  <c r="G202" i="1" s="1"/>
  <c r="F202" i="1" a="1"/>
  <c r="F202" i="1" s="1"/>
  <c r="E202" i="1" a="1"/>
  <c r="E202" i="1" s="1"/>
  <c r="G201" i="1" a="1"/>
  <c r="G201" i="1" s="1"/>
  <c r="F201" i="1"/>
  <c r="E201" i="1" a="1"/>
  <c r="E201" i="1" s="1"/>
  <c r="G195" i="1" a="1"/>
  <c r="G195" i="1" s="1"/>
  <c r="G194" i="1" a="1"/>
  <c r="G194" i="1" s="1"/>
  <c r="G193" i="1" a="1"/>
  <c r="G193" i="1" s="1"/>
  <c r="G192" i="1" a="1"/>
  <c r="G192" i="1" s="1"/>
  <c r="G191" i="1" a="1"/>
  <c r="G191" i="1" s="1"/>
  <c r="G190" i="1" a="1"/>
  <c r="G190" i="1" s="1"/>
  <c r="G189" i="1" a="1"/>
  <c r="G189" i="1" s="1"/>
  <c r="G188" i="1" a="1"/>
  <c r="G188" i="1" s="1"/>
  <c r="G187" i="1" a="1"/>
  <c r="G187" i="1" s="1"/>
  <c r="G186" i="1" a="1"/>
  <c r="G186" i="1" s="1"/>
  <c r="G185" i="1" a="1"/>
  <c r="G185" i="1" s="1"/>
  <c r="G184" i="1" a="1"/>
  <c r="G184" i="1" s="1"/>
  <c r="G183" i="1" a="1"/>
  <c r="G183" i="1" s="1"/>
  <c r="G182" i="1" a="1"/>
  <c r="G182" i="1" s="1"/>
  <c r="G181" i="1" a="1"/>
  <c r="G181" i="1" s="1"/>
  <c r="G180" i="1" a="1"/>
  <c r="G180" i="1" s="1"/>
  <c r="G179" i="1" a="1"/>
  <c r="G179" i="1" s="1"/>
  <c r="G178" i="1" a="1"/>
  <c r="G178" i="1" s="1"/>
  <c r="G177" i="1" a="1"/>
  <c r="G177" i="1" s="1"/>
  <c r="G176" i="1" a="1"/>
  <c r="G176" i="1" s="1"/>
  <c r="G175" i="1" a="1"/>
  <c r="G175" i="1" s="1"/>
  <c r="G174" i="1" a="1"/>
  <c r="G174" i="1" s="1"/>
  <c r="G173" i="1" a="1"/>
  <c r="G173" i="1" s="1"/>
  <c r="G172" i="1" a="1"/>
  <c r="G172" i="1" s="1"/>
  <c r="G171" i="1" a="1"/>
  <c r="G171" i="1" s="1"/>
  <c r="G170" i="1" a="1"/>
  <c r="G170" i="1" s="1"/>
  <c r="G169" i="1" a="1"/>
  <c r="G169" i="1" s="1"/>
  <c r="G168" i="1" a="1"/>
  <c r="G168" i="1" s="1"/>
  <c r="G167" i="1" a="1"/>
  <c r="G167" i="1" s="1"/>
  <c r="G166" i="1" a="1"/>
  <c r="G166" i="1" s="1"/>
  <c r="G165" i="1" a="1"/>
  <c r="G165" i="1" s="1"/>
  <c r="G164" i="1" a="1"/>
  <c r="G164" i="1" s="1"/>
  <c r="G163" i="1" a="1"/>
  <c r="G163" i="1" s="1"/>
  <c r="G162" i="1" a="1"/>
  <c r="G162" i="1" s="1"/>
  <c r="G161" i="1" a="1"/>
  <c r="G161" i="1" s="1"/>
  <c r="G160" i="1" a="1"/>
  <c r="G160" i="1" s="1"/>
  <c r="G159" i="1" a="1"/>
  <c r="G159" i="1" s="1"/>
  <c r="G158" i="1" a="1"/>
  <c r="G158" i="1" s="1"/>
  <c r="G157" i="1" a="1"/>
  <c r="G157" i="1" s="1"/>
  <c r="G156" i="1" a="1"/>
  <c r="G156" i="1" s="1"/>
  <c r="G155" i="1" a="1"/>
  <c r="G155" i="1" s="1"/>
  <c r="G154" i="1" a="1"/>
  <c r="G154" i="1" s="1"/>
  <c r="G153" i="1" a="1"/>
  <c r="G153" i="1" s="1"/>
  <c r="B153" i="1" a="1"/>
  <c r="B153" i="1" s="1"/>
  <c r="B154" i="1" s="1" a="1"/>
  <c r="B154" i="1" s="1"/>
  <c r="G152" i="1" a="1"/>
  <c r="G152" i="1" s="1"/>
  <c r="B152" i="1" a="1"/>
  <c r="B152" i="1" s="1"/>
  <c r="G151" i="1" a="1"/>
  <c r="G151" i="1" s="1"/>
  <c r="F151" i="1" a="1"/>
  <c r="F151" i="1" s="1"/>
  <c r="E151" i="1" a="1"/>
  <c r="E151" i="1" s="1"/>
  <c r="G150" i="1" a="1"/>
  <c r="G150" i="1" s="1"/>
  <c r="F150" i="1" a="1"/>
  <c r="F150" i="1" s="1"/>
  <c r="E150" i="1" a="1"/>
  <c r="E150" i="1" s="1"/>
  <c r="G149" i="1" a="1"/>
  <c r="G149" i="1" s="1"/>
  <c r="F149" i="1" a="1"/>
  <c r="F149" i="1" s="1"/>
  <c r="E149" i="1" a="1"/>
  <c r="E149" i="1" s="1"/>
  <c r="G148" i="1" a="1"/>
  <c r="G148" i="1" s="1"/>
  <c r="F148" i="1" a="1"/>
  <c r="F148" i="1" s="1"/>
  <c r="E148" i="1" a="1"/>
  <c r="E148" i="1" s="1"/>
  <c r="B148" i="1" a="1"/>
  <c r="B148" i="1" s="1"/>
  <c r="G147" i="1" a="1"/>
  <c r="G147" i="1" s="1"/>
  <c r="F147" i="1" a="1"/>
  <c r="F147" i="1" s="1"/>
  <c r="E147" i="1" a="1"/>
  <c r="E147" i="1" s="1"/>
  <c r="G146" i="1" a="1"/>
  <c r="G146" i="1" s="1"/>
  <c r="F146" i="1" a="1"/>
  <c r="F146" i="1" s="1"/>
  <c r="E146" i="1" a="1"/>
  <c r="E146" i="1" s="1"/>
  <c r="G145" i="1" a="1"/>
  <c r="G145" i="1" s="1"/>
  <c r="F145" i="1" a="1"/>
  <c r="F145" i="1" s="1"/>
  <c r="E145" i="1" a="1"/>
  <c r="E145" i="1" s="1"/>
  <c r="B109" i="1" a="1"/>
  <c r="B109" i="1" s="1"/>
  <c r="B110" i="1" s="1" a="1"/>
  <c r="B110" i="1" s="1"/>
  <c r="B108" i="1"/>
  <c r="F107" i="1" a="1"/>
  <c r="F107" i="1" s="1"/>
  <c r="E107" i="1" a="1"/>
  <c r="E107" i="1" s="1"/>
  <c r="F106" i="1" a="1"/>
  <c r="F106" i="1" s="1"/>
  <c r="E106" i="1" a="1"/>
  <c r="E106" i="1" s="1"/>
  <c r="F105" i="1" a="1"/>
  <c r="F105" i="1" s="1"/>
  <c r="E105" i="1" a="1"/>
  <c r="E105" i="1" s="1"/>
  <c r="F104" i="1" a="1"/>
  <c r="F104" i="1" s="1"/>
  <c r="E104" i="1" a="1"/>
  <c r="E104" i="1" s="1"/>
  <c r="B104" i="1"/>
  <c r="F103" i="1" a="1"/>
  <c r="F103" i="1" s="1"/>
  <c r="E103" i="1" a="1"/>
  <c r="E103" i="1" s="1"/>
  <c r="F102" i="1" a="1"/>
  <c r="F102" i="1" s="1"/>
  <c r="E102" i="1" a="1"/>
  <c r="E102" i="1" s="1"/>
  <c r="F101" i="1" a="1"/>
  <c r="F101" i="1" s="1"/>
  <c r="E101" i="1" a="1"/>
  <c r="E101" i="1" s="1"/>
  <c r="B73" i="1"/>
  <c r="B74" i="1" s="1"/>
  <c r="B72" i="1" a="1"/>
  <c r="B72" i="1" s="1"/>
  <c r="F71" i="1" a="1"/>
  <c r="F71" i="1" s="1"/>
  <c r="E71" i="1"/>
  <c r="F70" i="1" a="1"/>
  <c r="F70" i="1" s="1"/>
  <c r="E70" i="1"/>
  <c r="F69" i="1" a="1"/>
  <c r="F69" i="1" s="1"/>
  <c r="E69" i="1"/>
  <c r="F68" i="1" a="1"/>
  <c r="F68" i="1" s="1"/>
  <c r="E68" i="1"/>
  <c r="B68" i="1"/>
  <c r="F67" i="1" a="1"/>
  <c r="F67" i="1" s="1"/>
  <c r="E67" i="1"/>
  <c r="F66" i="1" a="1"/>
  <c r="F66" i="1" s="1"/>
  <c r="E66" i="1"/>
  <c r="F65" i="1" a="1"/>
  <c r="F65" i="1" s="1"/>
  <c r="E65" i="1"/>
  <c r="B41" i="1" a="1"/>
  <c r="B41" i="1" s="1"/>
  <c r="B42" i="1" s="1" a="1"/>
  <c r="B42" i="1" s="1"/>
  <c r="B40" i="1" a="1"/>
  <c r="B40" i="1" s="1"/>
  <c r="F39" i="1" a="1"/>
  <c r="F39" i="1" s="1"/>
  <c r="E39" i="1" a="1"/>
  <c r="E39" i="1" s="1"/>
  <c r="F38" i="1" a="1"/>
  <c r="F38" i="1" s="1"/>
  <c r="E38" i="1" a="1"/>
  <c r="E38" i="1" s="1"/>
  <c r="F37" i="1" a="1"/>
  <c r="F37" i="1" s="1"/>
  <c r="E37" i="1" a="1"/>
  <c r="E37" i="1" s="1"/>
  <c r="F36" i="1" a="1"/>
  <c r="F36" i="1" s="1"/>
  <c r="E36" i="1" a="1"/>
  <c r="E36" i="1" s="1"/>
  <c r="B36" i="1" a="1"/>
  <c r="B36" i="1" s="1"/>
  <c r="F35" i="1" a="1"/>
  <c r="F35" i="1" s="1"/>
  <c r="E35" i="1" a="1"/>
  <c r="E35" i="1" s="1"/>
  <c r="F34" i="1" a="1"/>
  <c r="F34" i="1" s="1"/>
  <c r="E34" i="1" a="1"/>
  <c r="E34" i="1" s="1"/>
  <c r="F33" i="1" a="1"/>
  <c r="F33" i="1" s="1"/>
  <c r="E33" i="1" a="1"/>
  <c r="E33" i="1" s="1"/>
  <c r="B18" i="1" a="1"/>
  <c r="B18" i="1" s="1"/>
  <c r="B19" i="1" s="1"/>
  <c r="B17" i="1"/>
  <c r="F16" i="1" a="1"/>
  <c r="F16" i="1" s="1"/>
  <c r="E16" i="1" a="1"/>
  <c r="E16" i="1" s="1"/>
  <c r="F15" i="1" a="1"/>
  <c r="F15" i="1" s="1"/>
  <c r="E15" i="1" a="1"/>
  <c r="E15" i="1" s="1"/>
  <c r="F14" i="1" a="1"/>
  <c r="F14" i="1" s="1"/>
  <c r="E14" i="1" a="1"/>
  <c r="E14" i="1" s="1"/>
  <c r="F13" i="1" a="1"/>
  <c r="F13" i="1" s="1"/>
  <c r="E13" i="1" a="1"/>
  <c r="E13" i="1" s="1"/>
  <c r="B13" i="1"/>
  <c r="F12" i="1" a="1"/>
  <c r="F12" i="1" s="1"/>
  <c r="E12" i="1" a="1"/>
  <c r="E12" i="1" s="1"/>
  <c r="F11" i="1" a="1"/>
  <c r="F11" i="1" s="1"/>
  <c r="E11" i="1" a="1"/>
  <c r="E11" i="1" s="1"/>
  <c r="F10" i="1" a="1"/>
  <c r="F10" i="1" s="1"/>
  <c r="E10" i="1" a="1"/>
  <c r="E10" i="1" s="1"/>
  <c r="F25" i="1" l="1" a="1"/>
  <c r="F25" i="1" s="1"/>
  <c r="E25" i="1" a="1"/>
  <c r="E25" i="1" s="1"/>
  <c r="F24" i="1" a="1"/>
  <c r="F24" i="1" s="1"/>
  <c r="E24" i="1" a="1"/>
  <c r="E24" i="1" s="1"/>
  <c r="F23" i="1" a="1"/>
  <c r="F23" i="1" s="1"/>
  <c r="E23" i="1" a="1"/>
  <c r="E23" i="1" s="1"/>
  <c r="F22" i="1" a="1"/>
  <c r="F22" i="1" s="1"/>
  <c r="E22" i="1" a="1"/>
  <c r="E22" i="1" s="1"/>
  <c r="F21" i="1" a="1"/>
  <c r="F21" i="1" s="1"/>
  <c r="E21" i="1" a="1"/>
  <c r="E21" i="1" s="1"/>
  <c r="F20" i="1" a="1"/>
  <c r="F20" i="1" s="1"/>
  <c r="E20" i="1" a="1"/>
  <c r="E20" i="1" s="1"/>
  <c r="F19" i="1" a="1"/>
  <c r="F19" i="1" s="1"/>
  <c r="E19" i="1" a="1"/>
  <c r="E19" i="1" s="1"/>
  <c r="F18" i="1" a="1"/>
  <c r="F18" i="1" s="1"/>
  <c r="E18" i="1" a="1"/>
  <c r="E18" i="1" s="1"/>
  <c r="F17" i="1" a="1"/>
  <c r="F17" i="1" s="1"/>
  <c r="E17" i="1" a="1"/>
  <c r="E17" i="1" s="1"/>
  <c r="F58" i="1" a="1"/>
  <c r="F58" i="1" s="1"/>
  <c r="E58" i="1" a="1"/>
  <c r="E58" i="1" s="1"/>
  <c r="F57" i="1" a="1"/>
  <c r="F57" i="1" s="1"/>
  <c r="E57" i="1" a="1"/>
  <c r="E57" i="1" s="1"/>
  <c r="F56" i="1" a="1"/>
  <c r="F56" i="1" s="1"/>
  <c r="E56" i="1" a="1"/>
  <c r="E56" i="1" s="1"/>
  <c r="F55" i="1" a="1"/>
  <c r="F55" i="1" s="1"/>
  <c r="E55" i="1" a="1"/>
  <c r="E55" i="1" s="1"/>
  <c r="F54" i="1" a="1"/>
  <c r="F54" i="1" s="1"/>
  <c r="E54" i="1" a="1"/>
  <c r="E54" i="1" s="1"/>
  <c r="F53" i="1" a="1"/>
  <c r="F53" i="1" s="1"/>
  <c r="E53" i="1" a="1"/>
  <c r="E53" i="1" s="1"/>
  <c r="F52" i="1" a="1"/>
  <c r="F52" i="1" s="1"/>
  <c r="E52" i="1" a="1"/>
  <c r="E52" i="1" s="1"/>
  <c r="F51" i="1" a="1"/>
  <c r="F51" i="1" s="1"/>
  <c r="E51" i="1" a="1"/>
  <c r="E51" i="1" s="1"/>
  <c r="F50" i="1" a="1"/>
  <c r="F50" i="1" s="1"/>
  <c r="E50" i="1" a="1"/>
  <c r="E50" i="1" s="1"/>
  <c r="F49" i="1" a="1"/>
  <c r="F49" i="1" s="1"/>
  <c r="E49" i="1" a="1"/>
  <c r="E49" i="1" s="1"/>
  <c r="F48" i="1" a="1"/>
  <c r="F48" i="1" s="1"/>
  <c r="E48" i="1" a="1"/>
  <c r="E48" i="1" s="1"/>
  <c r="F47" i="1" a="1"/>
  <c r="F47" i="1" s="1"/>
  <c r="E47" i="1" a="1"/>
  <c r="E47" i="1" s="1"/>
  <c r="F46" i="1" a="1"/>
  <c r="F46" i="1" s="1"/>
  <c r="E46" i="1" a="1"/>
  <c r="E46" i="1" s="1"/>
  <c r="F45" i="1" a="1"/>
  <c r="F45" i="1" s="1"/>
  <c r="E45" i="1" a="1"/>
  <c r="E45" i="1" s="1"/>
  <c r="F44" i="1" a="1"/>
  <c r="F44" i="1" s="1"/>
  <c r="E44" i="1" a="1"/>
  <c r="E44" i="1" s="1"/>
  <c r="F43" i="1" a="1"/>
  <c r="F43" i="1" s="1"/>
  <c r="E43" i="1" a="1"/>
  <c r="E43" i="1" s="1"/>
  <c r="F42" i="1" a="1"/>
  <c r="F42" i="1" s="1"/>
  <c r="E42" i="1" a="1"/>
  <c r="E42" i="1" s="1"/>
  <c r="F41" i="1" a="1"/>
  <c r="F41" i="1" s="1"/>
  <c r="E41" i="1" a="1"/>
  <c r="E41" i="1" s="1"/>
  <c r="F40" i="1" a="1"/>
  <c r="F40" i="1" s="1"/>
  <c r="E40" i="1" a="1"/>
  <c r="E40" i="1" s="1"/>
  <c r="F95" i="1" a="1"/>
  <c r="F95" i="1" s="1"/>
  <c r="E95" i="1"/>
  <c r="F94" i="1" a="1"/>
  <c r="F94" i="1" s="1"/>
  <c r="E94" i="1"/>
  <c r="F93" i="1" a="1"/>
  <c r="F93" i="1" s="1"/>
  <c r="E93" i="1"/>
  <c r="F92" i="1" a="1"/>
  <c r="F92" i="1" s="1"/>
  <c r="E92" i="1"/>
  <c r="F91" i="1" a="1"/>
  <c r="F91" i="1" s="1"/>
  <c r="E91" i="1"/>
  <c r="F90" i="1" a="1"/>
  <c r="F90" i="1" s="1"/>
  <c r="E90" i="1"/>
  <c r="F89" i="1" a="1"/>
  <c r="F89" i="1" s="1"/>
  <c r="E89" i="1"/>
  <c r="F88" i="1" a="1"/>
  <c r="F88" i="1" s="1"/>
  <c r="E88" i="1"/>
  <c r="F87" i="1" a="1"/>
  <c r="F87" i="1" s="1"/>
  <c r="E87" i="1"/>
  <c r="F86" i="1" a="1"/>
  <c r="F86" i="1" s="1"/>
  <c r="E86" i="1"/>
  <c r="F85" i="1" a="1"/>
  <c r="F85" i="1" s="1"/>
  <c r="E85" i="1"/>
  <c r="F84" i="1" a="1"/>
  <c r="F84" i="1" s="1"/>
  <c r="E84" i="1"/>
  <c r="F83" i="1" a="1"/>
  <c r="F83" i="1" s="1"/>
  <c r="E83" i="1"/>
  <c r="F82" i="1" a="1"/>
  <c r="F82" i="1" s="1"/>
  <c r="E82" i="1"/>
  <c r="F81" i="1" a="1"/>
  <c r="F81" i="1" s="1"/>
  <c r="E81" i="1"/>
  <c r="F80" i="1" a="1"/>
  <c r="F80" i="1" s="1"/>
  <c r="E80" i="1"/>
  <c r="F79" i="1" a="1"/>
  <c r="F79" i="1" s="1"/>
  <c r="E79" i="1"/>
  <c r="F78" i="1" a="1"/>
  <c r="F78" i="1" s="1"/>
  <c r="E78" i="1"/>
  <c r="F77" i="1" a="1"/>
  <c r="F77" i="1" s="1"/>
  <c r="E77" i="1"/>
  <c r="F76" i="1" a="1"/>
  <c r="F76" i="1" s="1"/>
  <c r="E76" i="1"/>
  <c r="F75" i="1" a="1"/>
  <c r="F75" i="1" s="1"/>
  <c r="E75" i="1"/>
  <c r="F74" i="1" a="1"/>
  <c r="F74" i="1" s="1"/>
  <c r="E74" i="1"/>
  <c r="F73" i="1" a="1"/>
  <c r="F73" i="1" s="1"/>
  <c r="E73" i="1"/>
  <c r="F72" i="1" a="1"/>
  <c r="F72" i="1" s="1"/>
  <c r="E72" i="1"/>
  <c r="F138" i="1" a="1"/>
  <c r="F138" i="1" s="1"/>
  <c r="E138" i="1" a="1"/>
  <c r="E138" i="1" s="1"/>
  <c r="F137" i="1" a="1"/>
  <c r="F137" i="1" s="1"/>
  <c r="E137" i="1" a="1"/>
  <c r="E137" i="1" s="1"/>
  <c r="F136" i="1" a="1"/>
  <c r="F136" i="1" s="1"/>
  <c r="E136" i="1" a="1"/>
  <c r="E136" i="1" s="1"/>
  <c r="F135" i="1" a="1"/>
  <c r="F135" i="1" s="1"/>
  <c r="E135" i="1" a="1"/>
  <c r="E135" i="1" s="1"/>
  <c r="F134" i="1" a="1"/>
  <c r="F134" i="1" s="1"/>
  <c r="E134" i="1" a="1"/>
  <c r="E134" i="1" s="1"/>
  <c r="F133" i="1" a="1"/>
  <c r="F133" i="1" s="1"/>
  <c r="E133" i="1" a="1"/>
  <c r="E133" i="1" s="1"/>
  <c r="F132" i="1" a="1"/>
  <c r="F132" i="1" s="1"/>
  <c r="E132" i="1" a="1"/>
  <c r="E132" i="1" s="1"/>
  <c r="F131" i="1" a="1"/>
  <c r="F131" i="1" s="1"/>
  <c r="E131" i="1" a="1"/>
  <c r="E131" i="1" s="1"/>
  <c r="F130" i="1" a="1"/>
  <c r="F130" i="1" s="1"/>
  <c r="E130" i="1" a="1"/>
  <c r="E130" i="1" s="1"/>
  <c r="F129" i="1" a="1"/>
  <c r="F129" i="1" s="1"/>
  <c r="E129" i="1" a="1"/>
  <c r="E129" i="1" s="1"/>
  <c r="F128" i="1" a="1"/>
  <c r="F128" i="1" s="1"/>
  <c r="E128" i="1" a="1"/>
  <c r="E128" i="1" s="1"/>
  <c r="F127" i="1" a="1"/>
  <c r="F127" i="1" s="1"/>
  <c r="E127" i="1" a="1"/>
  <c r="E127" i="1" s="1"/>
  <c r="F126" i="1" a="1"/>
  <c r="F126" i="1" s="1"/>
  <c r="E126" i="1" a="1"/>
  <c r="E126" i="1" s="1"/>
  <c r="F125" i="1" a="1"/>
  <c r="F125" i="1" s="1"/>
  <c r="E125" i="1" a="1"/>
  <c r="E125" i="1" s="1"/>
  <c r="F124" i="1" a="1"/>
  <c r="F124" i="1" s="1"/>
  <c r="E124" i="1" a="1"/>
  <c r="E124" i="1" s="1"/>
  <c r="F123" i="1" a="1"/>
  <c r="F123" i="1" s="1"/>
  <c r="E123" i="1" a="1"/>
  <c r="E123" i="1" s="1"/>
  <c r="F122" i="1" a="1"/>
  <c r="F122" i="1" s="1"/>
  <c r="E122" i="1" a="1"/>
  <c r="E122" i="1" s="1"/>
  <c r="F121" i="1" a="1"/>
  <c r="F121" i="1" s="1"/>
  <c r="E121" i="1" a="1"/>
  <c r="E121" i="1" s="1"/>
  <c r="F120" i="1" a="1"/>
  <c r="F120" i="1" s="1"/>
  <c r="E120" i="1" a="1"/>
  <c r="E120" i="1" s="1"/>
  <c r="F119" i="1" a="1"/>
  <c r="F119" i="1" s="1"/>
  <c r="E119" i="1" a="1"/>
  <c r="E119" i="1" s="1"/>
  <c r="F118" i="1" a="1"/>
  <c r="F118" i="1" s="1"/>
  <c r="E118" i="1" a="1"/>
  <c r="E118" i="1" s="1"/>
  <c r="F117" i="1" a="1"/>
  <c r="F117" i="1" s="1"/>
  <c r="E117" i="1" a="1"/>
  <c r="E117" i="1" s="1"/>
  <c r="F116" i="1" a="1"/>
  <c r="F116" i="1" s="1"/>
  <c r="E116" i="1" a="1"/>
  <c r="E116" i="1" s="1"/>
  <c r="F115" i="1" a="1"/>
  <c r="F115" i="1" s="1"/>
  <c r="E115" i="1" a="1"/>
  <c r="E115" i="1" s="1"/>
  <c r="F114" i="1" a="1"/>
  <c r="F114" i="1" s="1"/>
  <c r="E114" i="1" a="1"/>
  <c r="E114" i="1" s="1"/>
  <c r="F113" i="1" a="1"/>
  <c r="F113" i="1" s="1"/>
  <c r="E113" i="1" a="1"/>
  <c r="E113" i="1" s="1"/>
  <c r="F112" i="1" a="1"/>
  <c r="F112" i="1" s="1"/>
  <c r="E112" i="1" a="1"/>
  <c r="E112" i="1" s="1"/>
  <c r="F111" i="1" a="1"/>
  <c r="F111" i="1" s="1"/>
  <c r="E111" i="1" a="1"/>
  <c r="E111" i="1" s="1"/>
  <c r="F110" i="1" a="1"/>
  <c r="F110" i="1" s="1"/>
  <c r="E110" i="1" a="1"/>
  <c r="E110" i="1" s="1"/>
  <c r="F109" i="1" a="1"/>
  <c r="F109" i="1" s="1"/>
  <c r="E109" i="1" a="1"/>
  <c r="E109" i="1" s="1"/>
  <c r="F108" i="1" a="1"/>
  <c r="F108" i="1" s="1"/>
  <c r="E108" i="1" a="1"/>
  <c r="E108" i="1" s="1"/>
  <c r="F195" i="1" a="1"/>
  <c r="F195" i="1" s="1"/>
  <c r="E195" i="1" a="1"/>
  <c r="E195" i="1" s="1"/>
  <c r="F194" i="1" a="1"/>
  <c r="F194" i="1" s="1"/>
  <c r="E194" i="1" a="1"/>
  <c r="E194" i="1" s="1"/>
  <c r="F193" i="1" a="1"/>
  <c r="F193" i="1" s="1"/>
  <c r="E193" i="1" a="1"/>
  <c r="E193" i="1" s="1"/>
  <c r="F192" i="1" a="1"/>
  <c r="F192" i="1" s="1"/>
  <c r="E192" i="1" a="1"/>
  <c r="E192" i="1" s="1"/>
  <c r="F191" i="1" a="1"/>
  <c r="F191" i="1" s="1"/>
  <c r="E191" i="1" a="1"/>
  <c r="E191" i="1" s="1"/>
  <c r="F190" i="1" a="1"/>
  <c r="F190" i="1" s="1"/>
  <c r="E190" i="1" a="1"/>
  <c r="E190" i="1" s="1"/>
  <c r="F189" i="1" a="1"/>
  <c r="F189" i="1" s="1"/>
  <c r="E189" i="1" a="1"/>
  <c r="E189" i="1" s="1"/>
  <c r="F188" i="1" a="1"/>
  <c r="F188" i="1" s="1"/>
  <c r="E188" i="1" a="1"/>
  <c r="E188" i="1" s="1"/>
  <c r="F187" i="1" a="1"/>
  <c r="F187" i="1" s="1"/>
  <c r="E187" i="1" a="1"/>
  <c r="E187" i="1" s="1"/>
  <c r="F186" i="1" a="1"/>
  <c r="F186" i="1" s="1"/>
  <c r="E186" i="1" a="1"/>
  <c r="E186" i="1" s="1"/>
  <c r="F185" i="1" a="1"/>
  <c r="F185" i="1" s="1"/>
  <c r="E185" i="1" a="1"/>
  <c r="E185" i="1" s="1"/>
  <c r="F184" i="1" a="1"/>
  <c r="F184" i="1" s="1"/>
  <c r="E184" i="1" a="1"/>
  <c r="E184" i="1" s="1"/>
  <c r="F183" i="1" a="1"/>
  <c r="F183" i="1" s="1"/>
  <c r="E183" i="1" a="1"/>
  <c r="E183" i="1" s="1"/>
  <c r="F182" i="1" a="1"/>
  <c r="F182" i="1" s="1"/>
  <c r="E182" i="1" a="1"/>
  <c r="E182" i="1" s="1"/>
  <c r="F181" i="1" a="1"/>
  <c r="F181" i="1" s="1"/>
  <c r="E181" i="1" a="1"/>
  <c r="E181" i="1" s="1"/>
  <c r="F180" i="1" a="1"/>
  <c r="F180" i="1" s="1"/>
  <c r="E180" i="1" a="1"/>
  <c r="E180" i="1" s="1"/>
  <c r="F179" i="1" a="1"/>
  <c r="F179" i="1" s="1"/>
  <c r="E179" i="1" a="1"/>
  <c r="E179" i="1" s="1"/>
  <c r="F178" i="1" a="1"/>
  <c r="F178" i="1" s="1"/>
  <c r="E178" i="1" a="1"/>
  <c r="E178" i="1" s="1"/>
  <c r="F177" i="1" a="1"/>
  <c r="F177" i="1" s="1"/>
  <c r="E177" i="1" a="1"/>
  <c r="E177" i="1" s="1"/>
  <c r="F176" i="1" a="1"/>
  <c r="F176" i="1" s="1"/>
  <c r="E176" i="1" a="1"/>
  <c r="E176" i="1" s="1"/>
  <c r="F175" i="1" a="1"/>
  <c r="F175" i="1" s="1"/>
  <c r="E175" i="1" a="1"/>
  <c r="E175" i="1" s="1"/>
  <c r="F174" i="1" a="1"/>
  <c r="F174" i="1" s="1"/>
  <c r="E174" i="1" a="1"/>
  <c r="E174" i="1" s="1"/>
  <c r="F173" i="1" a="1"/>
  <c r="F173" i="1" s="1"/>
  <c r="E173" i="1" a="1"/>
  <c r="E173" i="1" s="1"/>
  <c r="F172" i="1" a="1"/>
  <c r="F172" i="1" s="1"/>
  <c r="E172" i="1" a="1"/>
  <c r="E172" i="1" s="1"/>
  <c r="F171" i="1" a="1"/>
  <c r="F171" i="1" s="1"/>
  <c r="E171" i="1" a="1"/>
  <c r="E171" i="1" s="1"/>
  <c r="F170" i="1" a="1"/>
  <c r="F170" i="1" s="1"/>
  <c r="E170" i="1" a="1"/>
  <c r="E170" i="1" s="1"/>
  <c r="F169" i="1" a="1"/>
  <c r="F169" i="1" s="1"/>
  <c r="E169" i="1" a="1"/>
  <c r="E169" i="1" s="1"/>
  <c r="F168" i="1" a="1"/>
  <c r="F168" i="1" s="1"/>
  <c r="E168" i="1" a="1"/>
  <c r="E168" i="1" s="1"/>
  <c r="F167" i="1" a="1"/>
  <c r="F167" i="1" s="1"/>
  <c r="E167" i="1" a="1"/>
  <c r="E167" i="1" s="1"/>
  <c r="F166" i="1" a="1"/>
  <c r="F166" i="1" s="1"/>
  <c r="E166" i="1" a="1"/>
  <c r="E166" i="1" s="1"/>
  <c r="F165" i="1" a="1"/>
  <c r="F165" i="1" s="1"/>
  <c r="E165" i="1" a="1"/>
  <c r="E165" i="1" s="1"/>
  <c r="F164" i="1" a="1"/>
  <c r="F164" i="1" s="1"/>
  <c r="E164" i="1" a="1"/>
  <c r="E164" i="1" s="1"/>
  <c r="F163" i="1" a="1"/>
  <c r="F163" i="1" s="1"/>
  <c r="E163" i="1" a="1"/>
  <c r="E163" i="1" s="1"/>
  <c r="F162" i="1" a="1"/>
  <c r="F162" i="1" s="1"/>
  <c r="E162" i="1" a="1"/>
  <c r="E162" i="1" s="1"/>
  <c r="F161" i="1" a="1"/>
  <c r="F161" i="1" s="1"/>
  <c r="E161" i="1" a="1"/>
  <c r="E161" i="1" s="1"/>
  <c r="F160" i="1" a="1"/>
  <c r="F160" i="1" s="1"/>
  <c r="E160" i="1" a="1"/>
  <c r="E160" i="1" s="1"/>
  <c r="F159" i="1" a="1"/>
  <c r="F159" i="1" s="1"/>
  <c r="E159" i="1" a="1"/>
  <c r="E159" i="1" s="1"/>
  <c r="F158" i="1" a="1"/>
  <c r="F158" i="1" s="1"/>
  <c r="E158" i="1" a="1"/>
  <c r="E158" i="1" s="1"/>
  <c r="F157" i="1" a="1"/>
  <c r="F157" i="1" s="1"/>
  <c r="E157" i="1" a="1"/>
  <c r="E157" i="1" s="1"/>
  <c r="F156" i="1" a="1"/>
  <c r="F156" i="1" s="1"/>
  <c r="E156" i="1" a="1"/>
  <c r="E156" i="1" s="1"/>
  <c r="F155" i="1" a="1"/>
  <c r="F155" i="1" s="1"/>
  <c r="E155" i="1" a="1"/>
  <c r="E155" i="1" s="1"/>
  <c r="F154" i="1" a="1"/>
  <c r="F154" i="1" s="1"/>
  <c r="E154" i="1" a="1"/>
  <c r="E154" i="1" s="1"/>
  <c r="F153" i="1" a="1"/>
  <c r="F153" i="1" s="1"/>
  <c r="E153" i="1" a="1"/>
  <c r="E153" i="1" s="1"/>
  <c r="F152" i="1" a="1"/>
  <c r="F152" i="1" s="1"/>
  <c r="E152" i="1" a="1"/>
  <c r="E152" i="1" s="1"/>
  <c r="F301" i="1" a="1"/>
  <c r="F301" i="1" s="1"/>
  <c r="E301" i="1" a="1"/>
  <c r="E301" i="1" s="1"/>
  <c r="F300" i="1" a="1"/>
  <c r="F300" i="1" s="1"/>
  <c r="E300" i="1" a="1"/>
  <c r="E300" i="1" s="1"/>
  <c r="F299" i="1" a="1"/>
  <c r="F299" i="1" s="1"/>
  <c r="E299" i="1" a="1"/>
  <c r="E299" i="1" s="1"/>
  <c r="F298" i="1" a="1"/>
  <c r="F298" i="1" s="1"/>
  <c r="E298" i="1" a="1"/>
  <c r="E298" i="1" s="1"/>
  <c r="F297" i="1" a="1"/>
  <c r="F297" i="1" s="1"/>
  <c r="E297" i="1" a="1"/>
  <c r="E297" i="1" s="1"/>
  <c r="F296" i="1" a="1"/>
  <c r="F296" i="1" s="1"/>
  <c r="E296" i="1" a="1"/>
  <c r="E296" i="1" s="1"/>
  <c r="F295" i="1" a="1"/>
  <c r="F295" i="1" s="1"/>
  <c r="E295" i="1" a="1"/>
  <c r="E295" i="1" s="1"/>
  <c r="F294" i="1" a="1"/>
  <c r="F294" i="1" s="1"/>
  <c r="E294" i="1" a="1"/>
  <c r="E294" i="1" s="1"/>
  <c r="F293" i="1" a="1"/>
  <c r="F293" i="1" s="1"/>
  <c r="E293" i="1" a="1"/>
  <c r="E293" i="1" s="1"/>
  <c r="F292" i="1" a="1"/>
  <c r="F292" i="1" s="1"/>
  <c r="E292" i="1" a="1"/>
  <c r="E292" i="1" s="1"/>
  <c r="F291" i="1" a="1"/>
  <c r="F291" i="1" s="1"/>
  <c r="E291" i="1" a="1"/>
  <c r="E291" i="1" s="1"/>
  <c r="F290" i="1" a="1"/>
  <c r="F290" i="1" s="1"/>
  <c r="E290" i="1" a="1"/>
  <c r="E290" i="1" s="1"/>
  <c r="F289" i="1" a="1"/>
  <c r="F289" i="1" s="1"/>
  <c r="E289" i="1" a="1"/>
  <c r="E289" i="1" s="1"/>
  <c r="F288" i="1" a="1"/>
  <c r="F288" i="1" s="1"/>
  <c r="E288" i="1" a="1"/>
  <c r="E288" i="1" s="1"/>
  <c r="F287" i="1" a="1"/>
  <c r="F287" i="1" s="1"/>
  <c r="E287" i="1" a="1"/>
  <c r="E287" i="1" s="1"/>
  <c r="F286" i="1" a="1"/>
  <c r="F286" i="1" s="1"/>
  <c r="E286" i="1" a="1"/>
  <c r="E286" i="1" s="1"/>
  <c r="F285" i="1" a="1"/>
  <c r="F285" i="1" s="1"/>
  <c r="E285" i="1" a="1"/>
  <c r="E285" i="1" s="1"/>
  <c r="F284" i="1" a="1"/>
  <c r="F284" i="1" s="1"/>
  <c r="E284" i="1" a="1"/>
  <c r="E284" i="1" s="1"/>
  <c r="F283" i="1" a="1"/>
  <c r="F283" i="1" s="1"/>
  <c r="E283" i="1" a="1"/>
  <c r="E283" i="1" s="1"/>
  <c r="F282" i="1" a="1"/>
  <c r="F282" i="1" s="1"/>
  <c r="E282" i="1" a="1"/>
  <c r="E282" i="1" s="1"/>
  <c r="F281" i="1" a="1"/>
  <c r="F281" i="1" s="1"/>
  <c r="E281" i="1" a="1"/>
  <c r="E281" i="1" s="1"/>
  <c r="F280" i="1" a="1"/>
  <c r="F280" i="1" s="1"/>
  <c r="E280" i="1" a="1"/>
  <c r="E280" i="1" s="1"/>
  <c r="F279" i="1" a="1"/>
  <c r="F279" i="1" s="1"/>
  <c r="E279" i="1" a="1"/>
  <c r="E279" i="1" s="1"/>
  <c r="F278" i="1" a="1"/>
  <c r="F278" i="1" s="1"/>
  <c r="E278" i="1" a="1"/>
  <c r="E278" i="1" s="1"/>
  <c r="F277" i="1" a="1"/>
  <c r="F277" i="1" s="1"/>
  <c r="E277" i="1" a="1"/>
  <c r="E277" i="1" s="1"/>
  <c r="F276" i="1" a="1"/>
  <c r="F276" i="1" s="1"/>
  <c r="E276" i="1" a="1"/>
  <c r="E276" i="1" s="1"/>
  <c r="F275" i="1" a="1"/>
  <c r="F275" i="1" s="1"/>
  <c r="E275" i="1" a="1"/>
  <c r="E275" i="1" s="1"/>
  <c r="F274" i="1" a="1"/>
  <c r="F274" i="1" s="1"/>
  <c r="E274" i="1" a="1"/>
  <c r="E274" i="1" s="1"/>
  <c r="F273" i="1" a="1"/>
  <c r="F273" i="1" s="1"/>
  <c r="E273" i="1" a="1"/>
  <c r="E273" i="1" s="1"/>
  <c r="F272" i="1" a="1"/>
  <c r="F272" i="1" s="1"/>
  <c r="E272" i="1" a="1"/>
  <c r="E272" i="1" s="1"/>
  <c r="F271" i="1" a="1"/>
  <c r="F271" i="1" s="1"/>
  <c r="E271" i="1" a="1"/>
  <c r="E271" i="1" s="1"/>
  <c r="F270" i="1" a="1"/>
  <c r="F270" i="1" s="1"/>
  <c r="E270" i="1" a="1"/>
  <c r="E270" i="1" s="1"/>
  <c r="F269" i="1" a="1"/>
  <c r="F269" i="1" s="1"/>
  <c r="E269" i="1" a="1"/>
  <c r="E269" i="1" s="1"/>
  <c r="F268" i="1" a="1"/>
  <c r="F268" i="1" s="1"/>
  <c r="E268" i="1" a="1"/>
  <c r="E268" i="1" s="1"/>
  <c r="F267" i="1" a="1"/>
  <c r="F267" i="1" s="1"/>
  <c r="E267" i="1" a="1"/>
  <c r="E267" i="1" s="1"/>
  <c r="F266" i="1" a="1"/>
  <c r="F266" i="1" s="1"/>
  <c r="E266" i="1" a="1"/>
  <c r="E266" i="1" s="1"/>
  <c r="F265" i="1" a="1"/>
  <c r="F265" i="1" s="1"/>
  <c r="E265" i="1" a="1"/>
  <c r="E265" i="1" s="1"/>
  <c r="F264" i="1" a="1"/>
  <c r="F264" i="1" s="1"/>
  <c r="E264" i="1" a="1"/>
  <c r="E264" i="1" s="1"/>
  <c r="F263" i="1" a="1"/>
  <c r="F263" i="1" s="1"/>
  <c r="E263" i="1" a="1"/>
  <c r="E263" i="1" s="1"/>
  <c r="F262" i="1" a="1"/>
  <c r="F262" i="1" s="1"/>
  <c r="E262" i="1" a="1"/>
  <c r="E262" i="1" s="1"/>
  <c r="F261" i="1" a="1"/>
  <c r="F261" i="1" s="1"/>
  <c r="E261" i="1" a="1"/>
  <c r="E261" i="1" s="1"/>
  <c r="F260" i="1" a="1"/>
  <c r="F260" i="1" s="1"/>
  <c r="E260" i="1" a="1"/>
  <c r="E260" i="1" s="1"/>
  <c r="F259" i="1" a="1"/>
  <c r="F259" i="1" s="1"/>
  <c r="E259" i="1" a="1"/>
  <c r="E259" i="1" s="1"/>
  <c r="F258" i="1" a="1"/>
  <c r="F258" i="1" s="1"/>
  <c r="E258" i="1" a="1"/>
  <c r="E258" i="1" s="1"/>
  <c r="F257" i="1" a="1"/>
  <c r="F257" i="1" s="1"/>
  <c r="E257" i="1" a="1"/>
  <c r="E257" i="1" s="1"/>
  <c r="F256" i="1" a="1"/>
  <c r="F256" i="1" s="1"/>
  <c r="E256" i="1" a="1"/>
  <c r="E256" i="1" s="1"/>
  <c r="F255" i="1" a="1"/>
  <c r="F255" i="1" s="1"/>
  <c r="E255" i="1" a="1"/>
  <c r="E255" i="1" s="1"/>
  <c r="F254" i="1" a="1"/>
  <c r="F254" i="1" s="1"/>
  <c r="E254" i="1" a="1"/>
  <c r="E254" i="1" s="1"/>
  <c r="F253" i="1" a="1"/>
  <c r="F253" i="1" s="1"/>
  <c r="E253" i="1" a="1"/>
  <c r="E253" i="1" s="1"/>
  <c r="F252" i="1" a="1"/>
  <c r="F252" i="1" s="1"/>
  <c r="E252" i="1" a="1"/>
  <c r="E252" i="1" s="1"/>
  <c r="F251" i="1" a="1"/>
  <c r="F251" i="1" s="1"/>
  <c r="E251" i="1" a="1"/>
  <c r="E251" i="1" s="1"/>
  <c r="F250" i="1" a="1"/>
  <c r="F250" i="1" s="1"/>
  <c r="E250" i="1" a="1"/>
  <c r="E250" i="1" s="1"/>
  <c r="F249" i="1" a="1"/>
  <c r="F249" i="1" s="1"/>
  <c r="E249" i="1" a="1"/>
  <c r="E249" i="1" s="1"/>
  <c r="F248" i="1" a="1"/>
  <c r="F248" i="1" s="1"/>
  <c r="E248" i="1" a="1"/>
  <c r="E248" i="1" s="1"/>
  <c r="F247" i="1" a="1"/>
  <c r="F247" i="1" s="1"/>
  <c r="E247" i="1" a="1"/>
  <c r="E247" i="1" s="1"/>
  <c r="F246" i="1" a="1"/>
  <c r="F246" i="1" s="1"/>
  <c r="E246" i="1" a="1"/>
  <c r="E246" i="1" s="1"/>
  <c r="F245" i="1" a="1"/>
  <c r="F245" i="1" s="1"/>
  <c r="E245" i="1" a="1"/>
  <c r="E245" i="1" s="1"/>
  <c r="F244" i="1" a="1"/>
  <c r="F244" i="1" s="1"/>
  <c r="E244" i="1" a="1"/>
  <c r="E244" i="1" s="1"/>
  <c r="F243" i="1" a="1"/>
  <c r="F243" i="1" s="1"/>
  <c r="E243" i="1" a="1"/>
  <c r="E243" i="1" s="1"/>
  <c r="F242" i="1" a="1"/>
  <c r="F242" i="1" s="1"/>
  <c r="E242" i="1" a="1"/>
  <c r="E242" i="1" s="1"/>
  <c r="F241" i="1" a="1"/>
  <c r="F241" i="1" s="1"/>
  <c r="E241" i="1" a="1"/>
  <c r="E241" i="1" s="1"/>
  <c r="F240" i="1" a="1"/>
  <c r="F240" i="1" s="1"/>
  <c r="E240" i="1" a="1"/>
  <c r="E240" i="1" s="1"/>
  <c r="F239" i="1" a="1"/>
  <c r="F239" i="1" s="1"/>
  <c r="E239" i="1" a="1"/>
  <c r="E239" i="1" s="1"/>
  <c r="F238" i="1" a="1"/>
  <c r="F238" i="1" s="1"/>
  <c r="E238" i="1" a="1"/>
  <c r="E238" i="1" s="1"/>
  <c r="F237" i="1" a="1"/>
  <c r="F237" i="1" s="1"/>
  <c r="E237" i="1" a="1"/>
  <c r="E237" i="1" s="1"/>
  <c r="F236" i="1" a="1"/>
  <c r="F236" i="1" s="1"/>
  <c r="E236" i="1" a="1"/>
  <c r="E236" i="1" s="1"/>
  <c r="F235" i="1" a="1"/>
  <c r="F235" i="1" s="1"/>
  <c r="E235" i="1" a="1"/>
  <c r="E235" i="1" s="1"/>
  <c r="F234" i="1" a="1"/>
  <c r="F234" i="1" s="1"/>
  <c r="E234" i="1" a="1"/>
  <c r="E234" i="1" s="1"/>
  <c r="F233" i="1" a="1"/>
  <c r="F233" i="1" s="1"/>
  <c r="E233" i="1" a="1"/>
  <c r="E233" i="1" s="1"/>
  <c r="F232" i="1" a="1"/>
  <c r="F232" i="1" s="1"/>
  <c r="E232" i="1" a="1"/>
  <c r="E232" i="1" s="1"/>
  <c r="F231" i="1" a="1"/>
  <c r="F231" i="1" s="1"/>
  <c r="E231" i="1" a="1"/>
  <c r="E231" i="1" s="1"/>
  <c r="F230" i="1" a="1"/>
  <c r="F230" i="1" s="1"/>
  <c r="E230" i="1" a="1"/>
  <c r="E230" i="1" s="1"/>
  <c r="F229" i="1" a="1"/>
  <c r="F229" i="1" s="1"/>
  <c r="E229" i="1" a="1"/>
  <c r="E229" i="1" s="1"/>
  <c r="F228" i="1" a="1"/>
  <c r="F228" i="1" s="1"/>
  <c r="E228" i="1" a="1"/>
  <c r="E228" i="1" s="1"/>
  <c r="F227" i="1" a="1"/>
  <c r="F227" i="1" s="1"/>
  <c r="E227" i="1" a="1"/>
  <c r="E227" i="1" s="1"/>
  <c r="F226" i="1" a="1"/>
  <c r="F226" i="1" s="1"/>
  <c r="E226" i="1" a="1"/>
  <c r="E226" i="1" s="1"/>
  <c r="F225" i="1" a="1"/>
  <c r="F225" i="1" s="1"/>
  <c r="E225" i="1" a="1"/>
  <c r="E225" i="1" s="1"/>
  <c r="F224" i="1" a="1"/>
  <c r="F224" i="1" s="1"/>
  <c r="E224" i="1" a="1"/>
  <c r="E224" i="1" s="1"/>
  <c r="F223" i="1" a="1"/>
  <c r="F223" i="1" s="1"/>
  <c r="E223" i="1" a="1"/>
  <c r="E223" i="1" s="1"/>
  <c r="F222" i="1" a="1"/>
  <c r="F222" i="1" s="1"/>
  <c r="E222" i="1" a="1"/>
  <c r="E222" i="1" s="1"/>
  <c r="F221" i="1" a="1"/>
  <c r="F221" i="1" s="1"/>
  <c r="E221" i="1" a="1"/>
  <c r="E221" i="1" s="1"/>
  <c r="F220" i="1" a="1"/>
  <c r="F220" i="1" s="1"/>
  <c r="E220" i="1" a="1"/>
  <c r="E220" i="1" s="1"/>
  <c r="F219" i="1" a="1"/>
  <c r="F219" i="1" s="1"/>
  <c r="E219" i="1" a="1"/>
  <c r="E219" i="1" s="1"/>
  <c r="F218" i="1" a="1"/>
  <c r="F218" i="1" s="1"/>
  <c r="E218" i="1" a="1"/>
  <c r="E218" i="1" s="1"/>
  <c r="F217" i="1" a="1"/>
  <c r="F217" i="1" s="1"/>
  <c r="E217" i="1" a="1"/>
  <c r="E217" i="1" s="1"/>
  <c r="F216" i="1" a="1"/>
  <c r="F216" i="1" s="1"/>
  <c r="E216" i="1" a="1"/>
  <c r="E216" i="1" s="1"/>
  <c r="F215" i="1" a="1"/>
  <c r="F215" i="1" s="1"/>
  <c r="E215" i="1" a="1"/>
  <c r="E215" i="1" s="1"/>
  <c r="F214" i="1" a="1"/>
  <c r="F214" i="1" s="1"/>
  <c r="E214" i="1" a="1"/>
  <c r="E214" i="1" s="1"/>
  <c r="F213" i="1" a="1"/>
  <c r="F213" i="1" s="1"/>
  <c r="E213" i="1" a="1"/>
  <c r="E213" i="1" s="1"/>
  <c r="F212" i="1" a="1"/>
  <c r="F212" i="1" s="1"/>
  <c r="E212" i="1" a="1"/>
  <c r="E212" i="1" s="1"/>
  <c r="F211" i="1" a="1"/>
  <c r="F211" i="1" s="1"/>
  <c r="E211" i="1" a="1"/>
  <c r="E211" i="1" s="1"/>
  <c r="F210" i="1" a="1"/>
  <c r="F210" i="1" s="1"/>
  <c r="E210" i="1" a="1"/>
  <c r="E210" i="1" s="1"/>
  <c r="F209" i="1" a="1"/>
  <c r="F209" i="1" s="1"/>
  <c r="E209" i="1" a="1"/>
  <c r="E209" i="1" s="1"/>
  <c r="F208" i="1" a="1"/>
  <c r="F208" i="1" s="1"/>
  <c r="E208" i="1" a="1"/>
  <c r="E208" i="1" s="1"/>
  <c r="F330" i="1" a="1"/>
  <c r="F330" i="1" s="1"/>
  <c r="E330" i="1" a="1"/>
  <c r="E330" i="1" s="1"/>
  <c r="F329" i="1" a="1"/>
  <c r="F329" i="1" s="1"/>
  <c r="E329" i="1" a="1"/>
  <c r="E329" i="1" s="1"/>
  <c r="F328" i="1" a="1"/>
  <c r="F328" i="1" s="1"/>
  <c r="E328" i="1" a="1"/>
  <c r="E328" i="1" s="1"/>
  <c r="F327" i="1" a="1"/>
  <c r="F327" i="1" s="1"/>
  <c r="E327" i="1" a="1"/>
  <c r="E327" i="1" s="1"/>
  <c r="F326" i="1" a="1"/>
  <c r="F326" i="1" s="1"/>
  <c r="E326" i="1" a="1"/>
  <c r="E326" i="1" s="1"/>
  <c r="F325" i="1" a="1"/>
  <c r="F325" i="1" s="1"/>
  <c r="E325" i="1" a="1"/>
  <c r="E325" i="1" s="1"/>
  <c r="F324" i="1" a="1"/>
  <c r="F324" i="1" s="1"/>
  <c r="E324" i="1" a="1"/>
  <c r="E324" i="1" s="1"/>
  <c r="F323" i="1" a="1"/>
  <c r="F323" i="1" s="1"/>
  <c r="E323" i="1" a="1"/>
  <c r="E323" i="1" s="1"/>
  <c r="F322" i="1" a="1"/>
  <c r="F322" i="1" s="1"/>
  <c r="E322" i="1" a="1"/>
  <c r="E322" i="1" s="1"/>
  <c r="F321" i="1" a="1"/>
  <c r="F321" i="1" s="1"/>
  <c r="E321" i="1" a="1"/>
  <c r="E321" i="1" s="1"/>
  <c r="F320" i="1" a="1"/>
  <c r="F320" i="1" s="1"/>
  <c r="E320" i="1" a="1"/>
  <c r="E320" i="1" s="1"/>
  <c r="F319" i="1" a="1"/>
  <c r="F319" i="1" s="1"/>
  <c r="E319" i="1" a="1"/>
  <c r="E319" i="1" s="1"/>
  <c r="F318" i="1" a="1"/>
  <c r="F318" i="1" s="1"/>
  <c r="E318" i="1" a="1"/>
  <c r="E318" i="1" s="1"/>
  <c r="F317" i="1" a="1"/>
  <c r="F317" i="1" s="1"/>
  <c r="E317" i="1" a="1"/>
  <c r="E317" i="1" s="1"/>
  <c r="F316" i="1" a="1"/>
  <c r="F316" i="1" s="1"/>
  <c r="E316" i="1" a="1"/>
  <c r="E316" i="1" s="1"/>
  <c r="F315" i="1" a="1"/>
  <c r="F315" i="1" s="1"/>
  <c r="E315" i="1" a="1"/>
  <c r="E315" i="1" s="1"/>
  <c r="F314" i="1" a="1"/>
  <c r="F314" i="1" s="1"/>
  <c r="E314" i="1" a="1"/>
  <c r="E314" i="1" s="1"/>
  <c r="F313" i="1" a="1"/>
  <c r="F313" i="1" s="1"/>
  <c r="E313" i="1" a="1"/>
  <c r="E313" i="1" s="1"/>
  <c r="F370" i="1" a="1"/>
  <c r="F370" i="1" s="1"/>
  <c r="E370" i="1" a="1"/>
  <c r="E370" i="1" s="1"/>
  <c r="F369" i="1" a="1"/>
  <c r="F369" i="1" s="1"/>
  <c r="E369" i="1" a="1"/>
  <c r="E369" i="1" s="1"/>
  <c r="F368" i="1" a="1"/>
  <c r="F368" i="1" s="1"/>
  <c r="E368" i="1" a="1"/>
  <c r="E368" i="1" s="1"/>
  <c r="F367" i="1" a="1"/>
  <c r="F367" i="1" s="1"/>
  <c r="E367" i="1" a="1"/>
  <c r="E367" i="1" s="1"/>
  <c r="F366" i="1" a="1"/>
  <c r="F366" i="1" s="1"/>
  <c r="E366" i="1" a="1"/>
  <c r="E366" i="1" s="1"/>
  <c r="F365" i="1" a="1"/>
  <c r="F365" i="1" s="1"/>
  <c r="E365" i="1" a="1"/>
  <c r="E365" i="1" s="1"/>
  <c r="F364" i="1" a="1"/>
  <c r="F364" i="1" s="1"/>
  <c r="E364" i="1" a="1"/>
  <c r="E364" i="1" s="1"/>
  <c r="F363" i="1" a="1"/>
  <c r="F363" i="1" s="1"/>
  <c r="E363" i="1" a="1"/>
  <c r="E363" i="1" s="1"/>
  <c r="F362" i="1" a="1"/>
  <c r="F362" i="1" s="1"/>
  <c r="E362" i="1" a="1"/>
  <c r="E362" i="1" s="1"/>
  <c r="F361" i="1" a="1"/>
  <c r="F361" i="1" s="1"/>
  <c r="E361" i="1" a="1"/>
  <c r="E361" i="1" s="1"/>
  <c r="F360" i="1" a="1"/>
  <c r="F360" i="1" s="1"/>
  <c r="E360" i="1" a="1"/>
  <c r="E360" i="1" s="1"/>
  <c r="F359" i="1" a="1"/>
  <c r="F359" i="1" s="1"/>
  <c r="E359" i="1" a="1"/>
  <c r="E359" i="1" s="1"/>
  <c r="F358" i="1" a="1"/>
  <c r="F358" i="1" s="1"/>
  <c r="E358" i="1" a="1"/>
  <c r="E358" i="1" s="1"/>
  <c r="F357" i="1" a="1"/>
  <c r="F357" i="1" s="1"/>
  <c r="E357" i="1" a="1"/>
  <c r="E357" i="1" s="1"/>
  <c r="F356" i="1" a="1"/>
  <c r="F356" i="1" s="1"/>
  <c r="E356" i="1" a="1"/>
  <c r="E356" i="1" s="1"/>
  <c r="F355" i="1" a="1"/>
  <c r="F355" i="1" s="1"/>
  <c r="E355" i="1" a="1"/>
  <c r="E355" i="1" s="1"/>
  <c r="F354" i="1" a="1"/>
  <c r="F354" i="1" s="1"/>
  <c r="E354" i="1" a="1"/>
  <c r="E354" i="1" s="1"/>
  <c r="F353" i="1" a="1"/>
  <c r="F353" i="1" s="1"/>
  <c r="E353" i="1" a="1"/>
  <c r="E353" i="1" s="1"/>
  <c r="F352" i="1" a="1"/>
  <c r="F352" i="1" s="1"/>
  <c r="E352" i="1" a="1"/>
  <c r="E352" i="1" s="1"/>
  <c r="F351" i="1" a="1"/>
  <c r="F351" i="1" s="1"/>
  <c r="E351" i="1" a="1"/>
  <c r="E351" i="1" s="1"/>
  <c r="F350" i="1" a="1"/>
  <c r="F350" i="1" s="1"/>
  <c r="E350" i="1" a="1"/>
  <c r="E350" i="1" s="1"/>
  <c r="F349" i="1" a="1"/>
  <c r="F349" i="1" s="1"/>
  <c r="E349" i="1" a="1"/>
  <c r="E349" i="1" s="1"/>
  <c r="F348" i="1" a="1"/>
  <c r="F348" i="1" s="1"/>
  <c r="E348" i="1" a="1"/>
  <c r="E348" i="1" s="1"/>
  <c r="F347" i="1" a="1"/>
  <c r="F347" i="1" s="1"/>
  <c r="E347" i="1" a="1"/>
  <c r="E347" i="1" s="1"/>
  <c r="F346" i="1" a="1"/>
  <c r="F346" i="1" s="1"/>
  <c r="E346" i="1" a="1"/>
  <c r="E346" i="1" s="1"/>
  <c r="F345" i="1" a="1"/>
  <c r="F345" i="1" s="1"/>
  <c r="E345" i="1" a="1"/>
  <c r="E345" i="1" s="1"/>
  <c r="F344" i="1" a="1"/>
  <c r="F344" i="1" s="1"/>
  <c r="E344" i="1" a="1"/>
  <c r="E344" i="1" s="1"/>
  <c r="F343" i="1" a="1"/>
  <c r="F343" i="1" s="1"/>
  <c r="E343" i="1" a="1"/>
  <c r="E343" i="1" s="1"/>
</calcChain>
</file>

<file path=xl/sharedStrings.xml><?xml version="1.0" encoding="utf-8"?>
<sst xmlns="http://schemas.openxmlformats.org/spreadsheetml/2006/main" count="131" uniqueCount="28">
  <si>
    <t>(I) POISSON DISTRIBUTION</t>
  </si>
  <si>
    <t>EXAMPLE-1</t>
  </si>
  <si>
    <t xml:space="preserve">NO.OF TRIALS </t>
  </si>
  <si>
    <t>PROBABILITY MASS FUNCTION</t>
  </si>
  <si>
    <t xml:space="preserve">CUMMULATIVE DISTRIBUTIVE FUNCTION </t>
  </si>
  <si>
    <t>DATA</t>
  </si>
  <si>
    <t>X</t>
  </si>
  <si>
    <t>P(X=x)</t>
  </si>
  <si>
    <t>P(X&lt;=x)</t>
  </si>
  <si>
    <t>SAMPLE SIZE (n)  OR NO.OF  TRIALS  (X)</t>
  </si>
  <si>
    <t>PROBABILITY OF EVENT (P)</t>
  </si>
  <si>
    <t>PROBABILITY OF FAILURE (q) OR (1-p)</t>
  </si>
  <si>
    <t>STATISTICS</t>
  </si>
  <si>
    <t>MEAN (λ) OR (μ)</t>
  </si>
  <si>
    <t>VARIANCE(σ²)</t>
  </si>
  <si>
    <t>STANDARD VARIATION (σ)</t>
  </si>
  <si>
    <t xml:space="preserve">EXAMPLE-2 </t>
  </si>
  <si>
    <t>EXAMPLE-3</t>
  </si>
  <si>
    <t xml:space="preserve"> </t>
  </si>
  <si>
    <t>EXAMPLE-4</t>
  </si>
  <si>
    <t>NO.OF TRIALS</t>
  </si>
  <si>
    <t>EXAMPLE-5</t>
  </si>
  <si>
    <t>POISSON AS LIMITING CASE OF B.D</t>
  </si>
  <si>
    <t>P(X)B.D</t>
  </si>
  <si>
    <t>EXAMPLE-6</t>
  </si>
  <si>
    <t>EXAMPLE -7</t>
  </si>
  <si>
    <t>EXAMPLE -8</t>
  </si>
  <si>
    <t>(II) POISSON DISTRIBUTION AS A LIMITING CASE OF BINOMIAL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</si>
</sst>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name val="Calibri"/>
      <family val="2"/>
      <scheme val="minor"/>
    </font>
    <font>
      <b/>
      <sz val="28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5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k'!$E$8:$E$9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k'!$D$10:$D$25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'poisson distribution k'!$E$10:$E$25</c:f>
              <c:numCache>
                <c:formatCode>0.0000</c:formatCode>
                <c:ptCount val="16"/>
                <c:pt idx="0">
                  <c:v>1.1108996538242306E-2</c:v>
                </c:pt>
                <c:pt idx="1">
                  <c:v>4.9990484422090385E-2</c:v>
                </c:pt>
                <c:pt idx="2">
                  <c:v>0.11247858994970336</c:v>
                </c:pt>
                <c:pt idx="3">
                  <c:v>0.16871788492455503</c:v>
                </c:pt>
                <c:pt idx="4">
                  <c:v>0.18980762054012446</c:v>
                </c:pt>
                <c:pt idx="5">
                  <c:v>0.17082685848611198</c:v>
                </c:pt>
                <c:pt idx="6">
                  <c:v>0.12812014386458401</c:v>
                </c:pt>
                <c:pt idx="7">
                  <c:v>8.2362949627232576E-2</c:v>
                </c:pt>
                <c:pt idx="8">
                  <c:v>4.6329159165318337E-2</c:v>
                </c:pt>
                <c:pt idx="9">
                  <c:v>2.3164579582659158E-2</c:v>
                </c:pt>
                <c:pt idx="10">
                  <c:v>1.0424060812196614E-2</c:v>
                </c:pt>
                <c:pt idx="11">
                  <c:v>4.2643885140804328E-3</c:v>
                </c:pt>
                <c:pt idx="12">
                  <c:v>1.599145692780165E-3</c:v>
                </c:pt>
                <c:pt idx="13">
                  <c:v>5.535504321162115E-4</c:v>
                </c:pt>
                <c:pt idx="14">
                  <c:v>1.7792692460878205E-4</c:v>
                </c:pt>
                <c:pt idx="15">
                  <c:v>5.3378077382634449E-5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D-4082-B623-3B8C4D0DE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425999"/>
        <c:axId val="1621419279"/>
      </c:barChart>
      <c:catAx>
        <c:axId val="162142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19279"/>
        <c:crosses val="autoZero"/>
        <c:auto val="1"/>
        <c:lblAlgn val="ctr"/>
        <c:lblOffset val="100"/>
        <c:noMultiLvlLbl val="0"/>
      </c:catAx>
      <c:valAx>
        <c:axId val="16214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FUNCTION</a:t>
                </a:r>
              </a:p>
            </c:rich>
          </c:tx>
          <c:layout>
            <c:manualLayout>
              <c:xMode val="edge"/>
              <c:yMode val="edge"/>
              <c:x val="1.3929558052229328E-2"/>
              <c:y val="0.2302282607060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2599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k'!$F$8:$F$9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k'!$D$10:$D$25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'poisson distribution k'!$F$10:$F$25</c:f>
              <c:numCache>
                <c:formatCode>0.0000</c:formatCode>
                <c:ptCount val="16"/>
                <c:pt idx="0">
                  <c:v>1.1108996538242306E-2</c:v>
                </c:pt>
                <c:pt idx="1">
                  <c:v>6.1099480960332686E-2</c:v>
                </c:pt>
                <c:pt idx="2">
                  <c:v>0.17357807091003602</c:v>
                </c:pt>
                <c:pt idx="3">
                  <c:v>0.34229595583459105</c:v>
                </c:pt>
                <c:pt idx="4">
                  <c:v>0.53210357637471528</c:v>
                </c:pt>
                <c:pt idx="5">
                  <c:v>0.70293043486082729</c:v>
                </c:pt>
                <c:pt idx="6">
                  <c:v>0.83105057872541144</c:v>
                </c:pt>
                <c:pt idx="7">
                  <c:v>0.91341352835264389</c:v>
                </c:pt>
                <c:pt idx="8">
                  <c:v>0.95974268751796221</c:v>
                </c:pt>
                <c:pt idx="9">
                  <c:v>0.98290726710062137</c:v>
                </c:pt>
                <c:pt idx="10">
                  <c:v>0.99333132791281809</c:v>
                </c:pt>
                <c:pt idx="11">
                  <c:v>0.99759571642689848</c:v>
                </c:pt>
                <c:pt idx="12">
                  <c:v>0.99919486211967867</c:v>
                </c:pt>
                <c:pt idx="13">
                  <c:v>0.99974841255179481</c:v>
                </c:pt>
                <c:pt idx="14">
                  <c:v>0.99992633947640364</c:v>
                </c:pt>
                <c:pt idx="15">
                  <c:v>0.99997971755378634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E-4F82-B497-957E8B06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417839"/>
        <c:axId val="1621415919"/>
      </c:barChart>
      <c:catAx>
        <c:axId val="162141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15919"/>
        <c:crosses val="autoZero"/>
        <c:auto val="1"/>
        <c:lblAlgn val="ctr"/>
        <c:lblOffset val="100"/>
        <c:noMultiLvlLbl val="0"/>
      </c:catAx>
      <c:valAx>
        <c:axId val="16214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DISTRIBUTIVE FUNCTION </a:t>
                </a:r>
              </a:p>
            </c:rich>
          </c:tx>
          <c:layout>
            <c:manualLayout>
              <c:xMode val="edge"/>
              <c:yMode val="edge"/>
              <c:x val="1.6842741839227408E-2"/>
              <c:y val="0.14900120578568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1783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k'!$E$31:$E$32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k'!$D$33:$D$58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'poisson distribution k'!$E$33:$E$58</c:f>
              <c:numCache>
                <c:formatCode>0.0000</c:formatCode>
                <c:ptCount val="26"/>
                <c:pt idx="0">
                  <c:v>4.5399929762484854E-5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  <c:pt idx="21">
                  <c:v>8.8861014952321864E-4</c:v>
                </c:pt>
                <c:pt idx="22">
                  <c:v>4.0391370432873514E-4</c:v>
                </c:pt>
                <c:pt idx="23">
                  <c:v>1.7561465405597289E-4</c:v>
                </c:pt>
                <c:pt idx="24">
                  <c:v>7.317277252332188E-5</c:v>
                </c:pt>
                <c:pt idx="25">
                  <c:v>2.926910900932863E-5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2-46A2-B8A0-EA45B241E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552863"/>
        <c:axId val="1630553343"/>
      </c:barChart>
      <c:catAx>
        <c:axId val="163055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53343"/>
        <c:crosses val="autoZero"/>
        <c:auto val="1"/>
        <c:lblAlgn val="ctr"/>
        <c:lblOffset val="100"/>
        <c:noMultiLvlLbl val="0"/>
      </c:catAx>
      <c:valAx>
        <c:axId val="16305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FUNCTION</a:t>
                </a:r>
              </a:p>
            </c:rich>
          </c:tx>
          <c:layout>
            <c:manualLayout>
              <c:xMode val="edge"/>
              <c:yMode val="edge"/>
              <c:x val="1.6701494323464548E-2"/>
              <c:y val="0.17580259895728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5286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k'!$F$31:$F$32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k'!$D$33:$D$58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'poisson distribution k'!$F$33:$F$58</c:f>
              <c:numCache>
                <c:formatCode>0.0000</c:formatCode>
                <c:ptCount val="26"/>
                <c:pt idx="0">
                  <c:v>4.5399929762484854E-5</c:v>
                </c:pt>
                <c:pt idx="1">
                  <c:v>4.9939922738733344E-4</c:v>
                </c:pt>
                <c:pt idx="2">
                  <c:v>2.7693957155115762E-3</c:v>
                </c:pt>
                <c:pt idx="3">
                  <c:v>1.0336050675925718E-2</c:v>
                </c:pt>
                <c:pt idx="4">
                  <c:v>2.9252688076961065E-2</c:v>
                </c:pt>
                <c:pt idx="5">
                  <c:v>6.7085962879031805E-2</c:v>
                </c:pt>
                <c:pt idx="6">
                  <c:v>0.13014142088248298</c:v>
                </c:pt>
                <c:pt idx="7">
                  <c:v>0.22022064660169899</c:v>
                </c:pt>
                <c:pt idx="8">
                  <c:v>0.33281967875071894</c:v>
                </c:pt>
                <c:pt idx="9">
                  <c:v>0.45792971447185227</c:v>
                </c:pt>
                <c:pt idx="10">
                  <c:v>0.58303975019298537</c:v>
                </c:pt>
                <c:pt idx="11">
                  <c:v>0.69677614630310658</c:v>
                </c:pt>
                <c:pt idx="12">
                  <c:v>0.79155647639487436</c:v>
                </c:pt>
                <c:pt idx="13">
                  <c:v>0.864464422619311</c:v>
                </c:pt>
                <c:pt idx="14">
                  <c:v>0.9165415270653372</c:v>
                </c:pt>
                <c:pt idx="15">
                  <c:v>0.95125959669602134</c:v>
                </c:pt>
                <c:pt idx="16">
                  <c:v>0.97295839021519881</c:v>
                </c:pt>
                <c:pt idx="17">
                  <c:v>0.9857223864029504</c:v>
                </c:pt>
                <c:pt idx="18">
                  <c:v>0.99281349539614561</c:v>
                </c:pt>
                <c:pt idx="19">
                  <c:v>0.99654565802414319</c:v>
                </c:pt>
                <c:pt idx="20">
                  <c:v>0.99841173933814198</c:v>
                </c:pt>
                <c:pt idx="21">
                  <c:v>0.99930034948766511</c:v>
                </c:pt>
                <c:pt idx="22">
                  <c:v>0.9997042631919939</c:v>
                </c:pt>
                <c:pt idx="23">
                  <c:v>0.99987987784604981</c:v>
                </c:pt>
                <c:pt idx="24">
                  <c:v>0.9999530506185732</c:v>
                </c:pt>
                <c:pt idx="25">
                  <c:v>0.99998231972758256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6-4C91-BB08-04E82FA7F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536543"/>
        <c:axId val="1630557663"/>
      </c:barChart>
      <c:catAx>
        <c:axId val="163053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57663"/>
        <c:crosses val="autoZero"/>
        <c:auto val="1"/>
        <c:lblAlgn val="ctr"/>
        <c:lblOffset val="100"/>
        <c:noMultiLvlLbl val="0"/>
      </c:catAx>
      <c:valAx>
        <c:axId val="16305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CUMMULATIVE DISTRIBUTIVE FUNCTION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590918888695835E-2"/>
              <c:y val="0.15577391306909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3654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k'!$E$63:$E$64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k'!$D$65:$D$95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'poisson distribution k'!$E$65:$E$95</c:f>
              <c:numCache>
                <c:formatCode>0.0000</c:formatCode>
                <c:ptCount val="31"/>
                <c:pt idx="0">
                  <c:v>6.1442123533282098E-6</c:v>
                </c:pt>
                <c:pt idx="1">
                  <c:v>7.3730548239938514E-5</c:v>
                </c:pt>
                <c:pt idx="2">
                  <c:v>4.423832894396313E-4</c:v>
                </c:pt>
                <c:pt idx="3">
                  <c:v>1.7695331577585235E-3</c:v>
                </c:pt>
                <c:pt idx="4">
                  <c:v>5.3085994732755765E-3</c:v>
                </c:pt>
                <c:pt idx="5">
                  <c:v>1.2740638735861376E-2</c:v>
                </c:pt>
                <c:pt idx="6">
                  <c:v>2.5481277471722744E-2</c:v>
                </c:pt>
                <c:pt idx="7">
                  <c:v>4.3682189951524682E-2</c:v>
                </c:pt>
                <c:pt idx="8">
                  <c:v>6.5523284927287068E-2</c:v>
                </c:pt>
                <c:pt idx="9">
                  <c:v>8.7364379903049433E-2</c:v>
                </c:pt>
                <c:pt idx="10">
                  <c:v>0.10483725588365932</c:v>
                </c:pt>
                <c:pt idx="11">
                  <c:v>0.11436791550944653</c:v>
                </c:pt>
                <c:pt idx="12">
                  <c:v>0.11436791550944654</c:v>
                </c:pt>
                <c:pt idx="13">
                  <c:v>0.10557038354718144</c:v>
                </c:pt>
                <c:pt idx="14">
                  <c:v>9.0488900183298387E-2</c:v>
                </c:pt>
                <c:pt idx="15">
                  <c:v>7.2391120146638691E-2</c:v>
                </c:pt>
                <c:pt idx="16">
                  <c:v>5.4293340109979028E-2</c:v>
                </c:pt>
                <c:pt idx="17">
                  <c:v>3.8324710665867553E-2</c:v>
                </c:pt>
                <c:pt idx="18">
                  <c:v>2.5549807110578349E-2</c:v>
                </c:pt>
                <c:pt idx="19">
                  <c:v>1.6136720280365273E-2</c:v>
                </c:pt>
                <c:pt idx="20">
                  <c:v>9.6820321682191679E-3</c:v>
                </c:pt>
                <c:pt idx="21">
                  <c:v>5.5325898104109563E-3</c:v>
                </c:pt>
                <c:pt idx="22">
                  <c:v>3.0177762602241584E-3</c:v>
                </c:pt>
                <c:pt idx="23">
                  <c:v>1.5744919618560791E-3</c:v>
                </c:pt>
                <c:pt idx="24">
                  <c:v>7.8724598092804214E-4</c:v>
                </c:pt>
                <c:pt idx="25">
                  <c:v>3.7787807084545873E-4</c:v>
                </c:pt>
                <c:pt idx="26">
                  <c:v>1.7440526346713551E-4</c:v>
                </c:pt>
                <c:pt idx="27">
                  <c:v>7.7513450429837866E-5</c:v>
                </c:pt>
                <c:pt idx="28">
                  <c:v>3.3220050184216148E-5</c:v>
                </c:pt>
                <c:pt idx="29">
                  <c:v>1.374622766243433E-5</c:v>
                </c:pt>
                <c:pt idx="30">
                  <c:v>5.4984910649737217E-6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E-48F4-9886-CD965C9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248799"/>
        <c:axId val="1658247839"/>
      </c:barChart>
      <c:catAx>
        <c:axId val="1658248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47839"/>
        <c:crosses val="autoZero"/>
        <c:auto val="1"/>
        <c:lblAlgn val="ctr"/>
        <c:lblOffset val="100"/>
        <c:noMultiLvlLbl val="0"/>
      </c:catAx>
      <c:valAx>
        <c:axId val="16582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  <a:r>
                  <a:rPr lang="en-US" baseline="0"/>
                  <a:t> MASS FUNCTION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071334701703808E-2"/>
              <c:y val="0.16350100308686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4879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k'!$F$63:$F$64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'poisson distribution k'!$D$65:$D$95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'poisson distribution k'!$F$65:$F$95</c:f>
              <c:numCache>
                <c:formatCode>0.0000</c:formatCode>
                <c:ptCount val="31"/>
                <c:pt idx="0">
                  <c:v>6.1442123533282098E-6</c:v>
                </c:pt>
                <c:pt idx="1">
                  <c:v>7.9874760593266728E-5</c:v>
                </c:pt>
                <c:pt idx="2">
                  <c:v>5.222580500328978E-4</c:v>
                </c:pt>
                <c:pt idx="3">
                  <c:v>2.2917912077914221E-3</c:v>
                </c:pt>
                <c:pt idx="4">
                  <c:v>7.6003906810669956E-3</c:v>
                </c:pt>
                <c:pt idx="5">
                  <c:v>2.0341029416928367E-2</c:v>
                </c:pt>
                <c:pt idx="6">
                  <c:v>4.5822306888651132E-2</c:v>
                </c:pt>
                <c:pt idx="7">
                  <c:v>8.9504496840175862E-2</c:v>
                </c:pt>
                <c:pt idx="8">
                  <c:v>0.15502778176746293</c:v>
                </c:pt>
                <c:pt idx="9">
                  <c:v>0.24239216167051239</c:v>
                </c:pt>
                <c:pt idx="10">
                  <c:v>0.34722941755417158</c:v>
                </c:pt>
                <c:pt idx="11">
                  <c:v>0.46159733306361805</c:v>
                </c:pt>
                <c:pt idx="12">
                  <c:v>0.57596524857306464</c:v>
                </c:pt>
                <c:pt idx="13">
                  <c:v>0.68153563212024593</c:v>
                </c:pt>
                <c:pt idx="14">
                  <c:v>0.77202453230354462</c:v>
                </c:pt>
                <c:pt idx="15">
                  <c:v>0.84441565245018313</c:v>
                </c:pt>
                <c:pt idx="16">
                  <c:v>0.89870899256016212</c:v>
                </c:pt>
                <c:pt idx="17">
                  <c:v>0.93703370322602975</c:v>
                </c:pt>
                <c:pt idx="18">
                  <c:v>0.96258351033660805</c:v>
                </c:pt>
                <c:pt idx="19">
                  <c:v>0.97872023061697333</c:v>
                </c:pt>
                <c:pt idx="20">
                  <c:v>0.9884022627851925</c:v>
                </c:pt>
                <c:pt idx="21">
                  <c:v>0.99393485259560355</c:v>
                </c:pt>
                <c:pt idx="22">
                  <c:v>0.99695262885582769</c:v>
                </c:pt>
                <c:pt idx="23">
                  <c:v>0.9985271208176838</c:v>
                </c:pt>
                <c:pt idx="24">
                  <c:v>0.99931436679861174</c:v>
                </c:pt>
                <c:pt idx="25">
                  <c:v>0.99969224486945718</c:v>
                </c:pt>
                <c:pt idx="26">
                  <c:v>0.99986665013292431</c:v>
                </c:pt>
                <c:pt idx="27">
                  <c:v>0.99994416358335414</c:v>
                </c:pt>
                <c:pt idx="28">
                  <c:v>0.99997738363353839</c:v>
                </c:pt>
                <c:pt idx="29">
                  <c:v>0.99999112986120087</c:v>
                </c:pt>
                <c:pt idx="30">
                  <c:v>0.99999662835226588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A-4BF1-8836-B99ADBA2D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243999"/>
        <c:axId val="1658265599"/>
      </c:barChart>
      <c:catAx>
        <c:axId val="165824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65599"/>
        <c:crosses val="autoZero"/>
        <c:auto val="1"/>
        <c:lblAlgn val="ctr"/>
        <c:lblOffset val="100"/>
        <c:noMultiLvlLbl val="0"/>
      </c:catAx>
      <c:valAx>
        <c:axId val="165826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DISTRIBUTIVE FUNCTION</a:t>
                </a:r>
              </a:p>
            </c:rich>
          </c:tx>
          <c:layout>
            <c:manualLayout>
              <c:xMode val="edge"/>
              <c:yMode val="edge"/>
              <c:x val="1.9734772647205533E-2"/>
              <c:y val="0.13273674758326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4399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0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k'!$E$99:$E$100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'poisson distribution k'!$E$101:$E$138</c:f>
              <c:numCache>
                <c:formatCode>0.0000</c:formatCode>
                <c:ptCount val="38"/>
                <c:pt idx="0">
                  <c:v>9.2374496619705944E-9</c:v>
                </c:pt>
                <c:pt idx="1">
                  <c:v>1.7089281874645599E-7</c:v>
                </c:pt>
                <c:pt idx="2">
                  <c:v>1.5807585734047167E-6</c:v>
                </c:pt>
                <c:pt idx="3">
                  <c:v>9.7480112026624334E-6</c:v>
                </c:pt>
                <c:pt idx="4">
                  <c:v>4.5084551812313776E-5</c:v>
                </c:pt>
                <c:pt idx="5">
                  <c:v>1.6681284170556073E-4</c:v>
                </c:pt>
                <c:pt idx="6">
                  <c:v>5.143395952588118E-4</c:v>
                </c:pt>
                <c:pt idx="7">
                  <c:v>1.3593260731840048E-3</c:v>
                </c:pt>
                <c:pt idx="8">
                  <c:v>3.1434415442380109E-3</c:v>
                </c:pt>
                <c:pt idx="9">
                  <c:v>6.4615187298225742E-3</c:v>
                </c:pt>
                <c:pt idx="10">
                  <c:v>1.1953809650171759E-2</c:v>
                </c:pt>
                <c:pt idx="11">
                  <c:v>2.0104134411652493E-2</c:v>
                </c:pt>
                <c:pt idx="12">
                  <c:v>3.0993873884630933E-2</c:v>
                </c:pt>
                <c:pt idx="13">
                  <c:v>4.4106666681974813E-2</c:v>
                </c:pt>
                <c:pt idx="14">
                  <c:v>5.8283809544038168E-2</c:v>
                </c:pt>
                <c:pt idx="15">
                  <c:v>7.1883365104313771E-2</c:v>
                </c:pt>
                <c:pt idx="16">
                  <c:v>8.3115140901862755E-2</c:v>
                </c:pt>
                <c:pt idx="17">
                  <c:v>9.0448829804968309E-2</c:v>
                </c:pt>
                <c:pt idx="18">
                  <c:v>9.2961297299550757E-2</c:v>
                </c:pt>
                <c:pt idx="19">
                  <c:v>9.0514947370615217E-2</c:v>
                </c:pt>
                <c:pt idx="20">
                  <c:v>8.3726326317819066E-2</c:v>
                </c:pt>
                <c:pt idx="21">
                  <c:v>7.3758906518078676E-2</c:v>
                </c:pt>
                <c:pt idx="22">
                  <c:v>6.2024535026566227E-2</c:v>
                </c:pt>
                <c:pt idx="23">
                  <c:v>4.988929991267279E-2</c:v>
                </c:pt>
                <c:pt idx="24">
                  <c:v>3.8456335349351972E-2</c:v>
                </c:pt>
                <c:pt idx="25">
                  <c:v>2.8457688158520466E-2</c:v>
                </c:pt>
                <c:pt idx="26">
                  <c:v>2.0248739651254916E-2</c:v>
                </c:pt>
                <c:pt idx="27">
                  <c:v>1.38741364277117E-2</c:v>
                </c:pt>
                <c:pt idx="28">
                  <c:v>9.1668401397380795E-3</c:v>
                </c:pt>
                <c:pt idx="29">
                  <c:v>5.8478118132812059E-3</c:v>
                </c:pt>
                <c:pt idx="30">
                  <c:v>3.6061506181900697E-3</c:v>
                </c:pt>
                <c:pt idx="31">
                  <c:v>2.1520576269843982E-3</c:v>
                </c:pt>
                <c:pt idx="32">
                  <c:v>1.2441583156003525E-3</c:v>
                </c:pt>
                <c:pt idx="33">
                  <c:v>6.9748269207898811E-4</c:v>
                </c:pt>
                <c:pt idx="34">
                  <c:v>3.7951264127827222E-4</c:v>
                </c:pt>
                <c:pt idx="35">
                  <c:v>2.0059953896137193E-4</c:v>
                </c:pt>
                <c:pt idx="36">
                  <c:v>1.0308587418848291E-4</c:v>
                </c:pt>
                <c:pt idx="37">
                  <c:v>5.1542937094241643E-5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D-432F-8630-FA913779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36687"/>
        <c:axId val="1786537167"/>
      </c:barChart>
      <c:catAx>
        <c:axId val="1786536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37167"/>
        <c:crosses val="autoZero"/>
        <c:auto val="1"/>
        <c:lblAlgn val="ctr"/>
        <c:lblOffset val="100"/>
        <c:noMultiLvlLbl val="0"/>
      </c:catAx>
      <c:valAx>
        <c:axId val="17865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FUNCTION</a:t>
                </a:r>
              </a:p>
            </c:rich>
          </c:tx>
          <c:layout>
            <c:manualLayout>
              <c:xMode val="edge"/>
              <c:yMode val="edge"/>
              <c:x val="1.9530357513190131E-2"/>
              <c:y val="0.1674243001380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366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k'!$F$99:$F$100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'poisson distribution k'!$F$101:$F$138</c:f>
              <c:numCache>
                <c:formatCode>0.0000</c:formatCode>
                <c:ptCount val="38"/>
                <c:pt idx="0">
                  <c:v>9.2374496619705944E-9</c:v>
                </c:pt>
                <c:pt idx="1">
                  <c:v>1.8013026840842659E-7</c:v>
                </c:pt>
                <c:pt idx="2">
                  <c:v>1.7608888418131444E-6</c:v>
                </c:pt>
                <c:pt idx="3">
                  <c:v>1.1508900044475572E-5</c:v>
                </c:pt>
                <c:pt idx="4">
                  <c:v>5.6593451856789288E-5</c:v>
                </c:pt>
                <c:pt idx="5">
                  <c:v>2.234062935623501E-4</c:v>
                </c:pt>
                <c:pt idx="6">
                  <c:v>7.3774588882116255E-4</c:v>
                </c:pt>
                <c:pt idx="7">
                  <c:v>2.0970719620051672E-3</c:v>
                </c:pt>
                <c:pt idx="8">
                  <c:v>5.2405135062431789E-3</c:v>
                </c:pt>
                <c:pt idx="9">
                  <c:v>1.170203223606575E-2</c:v>
                </c:pt>
                <c:pt idx="10">
                  <c:v>2.3655841886237514E-2</c:v>
                </c:pt>
                <c:pt idx="11">
                  <c:v>4.3759976297890031E-2</c:v>
                </c:pt>
                <c:pt idx="12">
                  <c:v>7.4753850182520995E-2</c:v>
                </c:pt>
                <c:pt idx="13">
                  <c:v>0.11886051686449582</c:v>
                </c:pt>
                <c:pt idx="14">
                  <c:v>0.17714432640853392</c:v>
                </c:pt>
                <c:pt idx="15">
                  <c:v>0.24902769151284768</c:v>
                </c:pt>
                <c:pt idx="16">
                  <c:v>0.33214283241471054</c:v>
                </c:pt>
                <c:pt idx="17">
                  <c:v>0.4225916622196787</c:v>
                </c:pt>
                <c:pt idx="18">
                  <c:v>0.51555295951922975</c:v>
                </c:pt>
                <c:pt idx="19">
                  <c:v>0.60606790688984491</c:v>
                </c:pt>
                <c:pt idx="20">
                  <c:v>0.68979423320766386</c:v>
                </c:pt>
                <c:pt idx="21">
                  <c:v>0.76355313972574246</c:v>
                </c:pt>
                <c:pt idx="22">
                  <c:v>0.8255776747523087</c:v>
                </c:pt>
                <c:pt idx="23">
                  <c:v>0.87546697466498147</c:v>
                </c:pt>
                <c:pt idx="24">
                  <c:v>0.91392331001433347</c:v>
                </c:pt>
                <c:pt idx="25">
                  <c:v>0.94238099817285381</c:v>
                </c:pt>
                <c:pt idx="26">
                  <c:v>0.96262973782410888</c:v>
                </c:pt>
                <c:pt idx="27">
                  <c:v>0.97650387425182061</c:v>
                </c:pt>
                <c:pt idx="28">
                  <c:v>0.98567071439155862</c:v>
                </c:pt>
                <c:pt idx="29">
                  <c:v>0.99151852620483982</c:v>
                </c:pt>
                <c:pt idx="30">
                  <c:v>0.99512467682302996</c:v>
                </c:pt>
                <c:pt idx="31">
                  <c:v>0.9972767344500143</c:v>
                </c:pt>
                <c:pt idx="32">
                  <c:v>0.99852089276561462</c:v>
                </c:pt>
                <c:pt idx="33">
                  <c:v>0.99921837545769365</c:v>
                </c:pt>
                <c:pt idx="34">
                  <c:v>0.99959788809897199</c:v>
                </c:pt>
                <c:pt idx="35">
                  <c:v>0.99979848763793333</c:v>
                </c:pt>
                <c:pt idx="36">
                  <c:v>0.99990157351212172</c:v>
                </c:pt>
                <c:pt idx="37">
                  <c:v>0.99995311644921603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A-4E97-A0F7-9BF47C734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40047"/>
        <c:axId val="1786543407"/>
      </c:barChart>
      <c:catAx>
        <c:axId val="178654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43407"/>
        <c:crosses val="autoZero"/>
        <c:auto val="1"/>
        <c:lblAlgn val="ctr"/>
        <c:lblOffset val="100"/>
        <c:noMultiLvlLbl val="0"/>
      </c:catAx>
      <c:valAx>
        <c:axId val="178654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</a:t>
                </a:r>
                <a:r>
                  <a:rPr lang="en-US" baseline="0"/>
                  <a:t> DISTRIBUTIVE FUNCTION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900512014943268E-2"/>
              <c:y val="0.12612631220399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400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k'!$E$143:$E$144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k'!$D$145:$D$195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'poisson distribution k'!$E$145:$E$195</c:f>
              <c:numCache>
                <c:formatCode>General</c:formatCode>
                <c:ptCount val="51"/>
                <c:pt idx="0">
                  <c:v>9.3576229688401748E-14</c:v>
                </c:pt>
                <c:pt idx="1">
                  <c:v>2.8072868906520526E-12</c:v>
                </c:pt>
                <c:pt idx="2">
                  <c:v>4.2109303359780846E-11</c:v>
                </c:pt>
                <c:pt idx="3">
                  <c:v>4.2109303359780806E-10</c:v>
                </c:pt>
                <c:pt idx="4">
                  <c:v>3.1581977519835657E-9</c:v>
                </c:pt>
                <c:pt idx="5">
                  <c:v>1.8949186511901307E-8</c:v>
                </c:pt>
                <c:pt idx="6">
                  <c:v>9.4745932559506632E-8</c:v>
                </c:pt>
                <c:pt idx="7">
                  <c:v>4.0605399668359985E-7</c:v>
                </c:pt>
                <c:pt idx="8">
                  <c:v>1.5227024875635025E-6</c:v>
                </c:pt>
                <c:pt idx="9">
                  <c:v>5.0756749585450093E-6</c:v>
                </c:pt>
                <c:pt idx="10">
                  <c:v>1.5227024875635035E-5</c:v>
                </c:pt>
                <c:pt idx="11">
                  <c:v>4.1528249660822743E-5</c:v>
                </c:pt>
                <c:pt idx="12">
                  <c:v>1.0382062415205684E-4</c:v>
                </c:pt>
                <c:pt idx="13">
                  <c:v>2.3958605573551602E-4</c:v>
                </c:pt>
                <c:pt idx="14">
                  <c:v>5.1339869086181945E-4</c:v>
                </c:pt>
                <c:pt idx="15">
                  <c:v>1.0267973817236391E-3</c:v>
                </c:pt>
                <c:pt idx="16">
                  <c:v>1.9252450907318271E-3</c:v>
                </c:pt>
                <c:pt idx="17">
                  <c:v>3.3974913365855718E-3</c:v>
                </c:pt>
                <c:pt idx="18">
                  <c:v>5.6624855609759559E-3</c:v>
                </c:pt>
                <c:pt idx="19">
                  <c:v>8.9407666752252049E-3</c:v>
                </c:pt>
                <c:pt idx="20">
                  <c:v>1.34111500128378E-2</c:v>
                </c:pt>
                <c:pt idx="21">
                  <c:v>1.9158785732625416E-2</c:v>
                </c:pt>
                <c:pt idx="22">
                  <c:v>2.6125616908125565E-2</c:v>
                </c:pt>
                <c:pt idx="23">
                  <c:v>3.4076891619294218E-2</c:v>
                </c:pt>
                <c:pt idx="24">
                  <c:v>4.2596114524117774E-2</c:v>
                </c:pt>
                <c:pt idx="25">
                  <c:v>5.1115337428941282E-2</c:v>
                </c:pt>
                <c:pt idx="26">
                  <c:v>5.8979235494932301E-2</c:v>
                </c:pt>
                <c:pt idx="27">
                  <c:v>6.5532483883258094E-2</c:v>
                </c:pt>
                <c:pt idx="28">
                  <c:v>7.0213375589205124E-2</c:v>
                </c:pt>
                <c:pt idx="29">
                  <c:v>7.2634526471591493E-2</c:v>
                </c:pt>
                <c:pt idx="30">
                  <c:v>7.2634526471591507E-2</c:v>
                </c:pt>
                <c:pt idx="31">
                  <c:v>7.0291477230572413E-2</c:v>
                </c:pt>
                <c:pt idx="32">
                  <c:v>6.589825990366166E-2</c:v>
                </c:pt>
                <c:pt idx="33">
                  <c:v>5.9907509003328779E-2</c:v>
                </c:pt>
                <c:pt idx="34">
                  <c:v>5.2859566767643008E-2</c:v>
                </c:pt>
                <c:pt idx="35">
                  <c:v>4.5308200086551176E-2</c:v>
                </c:pt>
                <c:pt idx="36">
                  <c:v>3.7756833405459315E-2</c:v>
                </c:pt>
                <c:pt idx="37">
                  <c:v>3.0613648707129171E-2</c:v>
                </c:pt>
                <c:pt idx="38">
                  <c:v>2.4168670031944072E-2</c:v>
                </c:pt>
                <c:pt idx="39">
                  <c:v>1.8591284639956965E-2</c:v>
                </c:pt>
                <c:pt idx="40">
                  <c:v>1.3943463479967748E-2</c:v>
                </c:pt>
                <c:pt idx="41">
                  <c:v>1.0202534253634935E-2</c:v>
                </c:pt>
                <c:pt idx="42">
                  <c:v>7.2875244668820999E-3</c:v>
                </c:pt>
                <c:pt idx="43">
                  <c:v>5.084319395499139E-3</c:v>
                </c:pt>
                <c:pt idx="44">
                  <c:v>3.4665814060221363E-3</c:v>
                </c:pt>
                <c:pt idx="45">
                  <c:v>2.3110542706814285E-3</c:v>
                </c:pt>
                <c:pt idx="46">
                  <c:v>1.5072093069661463E-3</c:v>
                </c:pt>
                <c:pt idx="47">
                  <c:v>9.6204849380817834E-4</c:v>
                </c:pt>
                <c:pt idx="48">
                  <c:v>6.0128030863011012E-4</c:v>
                </c:pt>
                <c:pt idx="49">
                  <c:v>3.6813080120210871E-4</c:v>
                </c:pt>
                <c:pt idx="50">
                  <c:v>2.2087848072126524E-4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C-43EC-ABDA-2D19FDCE9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50655"/>
        <c:axId val="1797862655"/>
      </c:barChart>
      <c:catAx>
        <c:axId val="179785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62655"/>
        <c:crosses val="autoZero"/>
        <c:auto val="1"/>
        <c:lblAlgn val="ctr"/>
        <c:lblOffset val="100"/>
        <c:noMultiLvlLbl val="0"/>
      </c:catAx>
      <c:valAx>
        <c:axId val="17978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PROBABILITY MASS FUNCTION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5065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k'!$F$143:$F$144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k'!$D$145:$D$195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'poisson distribution k'!$F$145:$F$195</c:f>
              <c:numCache>
                <c:formatCode>General</c:formatCode>
                <c:ptCount val="51"/>
                <c:pt idx="0">
                  <c:v>9.3576229688401748E-14</c:v>
                </c:pt>
                <c:pt idx="1">
                  <c:v>2.9008631203404541E-12</c:v>
                </c:pt>
                <c:pt idx="2">
                  <c:v>4.5010166480121238E-11</c:v>
                </c:pt>
                <c:pt idx="3">
                  <c:v>4.6610320007792906E-10</c:v>
                </c:pt>
                <c:pt idx="4">
                  <c:v>3.6243009520614882E-9</c:v>
                </c:pt>
                <c:pt idx="5">
                  <c:v>2.2573487463962842E-8</c:v>
                </c:pt>
                <c:pt idx="6">
                  <c:v>1.1731942002346961E-7</c:v>
                </c:pt>
                <c:pt idx="7">
                  <c:v>5.2337341670707003E-7</c:v>
                </c:pt>
                <c:pt idx="8">
                  <c:v>2.0460759042705716E-6</c:v>
                </c:pt>
                <c:pt idx="9">
                  <c:v>7.1217508628155784E-6</c:v>
                </c:pt>
                <c:pt idx="10">
                  <c:v>2.2348775738450591E-5</c:v>
                </c:pt>
                <c:pt idx="11">
                  <c:v>6.3877025399273381E-5</c:v>
                </c:pt>
                <c:pt idx="12">
                  <c:v>1.676976495513303E-4</c:v>
                </c:pt>
                <c:pt idx="13">
                  <c:v>4.0728370528684622E-4</c:v>
                </c:pt>
                <c:pt idx="14">
                  <c:v>9.206823961486662E-4</c:v>
                </c:pt>
                <c:pt idx="15">
                  <c:v>1.9474797778723069E-3</c:v>
                </c:pt>
                <c:pt idx="16">
                  <c:v>3.8727248686041332E-3</c:v>
                </c:pt>
                <c:pt idx="17">
                  <c:v>7.2702162051897015E-3</c:v>
                </c:pt>
                <c:pt idx="18">
                  <c:v>1.2932701766165662E-2</c:v>
                </c:pt>
                <c:pt idx="19">
                  <c:v>2.1873468441390851E-2</c:v>
                </c:pt>
                <c:pt idx="20">
                  <c:v>3.5284618454228651E-2</c:v>
                </c:pt>
                <c:pt idx="21">
                  <c:v>5.4443404186854061E-2</c:v>
                </c:pt>
                <c:pt idx="22">
                  <c:v>8.0569021094979654E-2</c:v>
                </c:pt>
                <c:pt idx="23">
                  <c:v>0.1146459127142738</c:v>
                </c:pt>
                <c:pt idx="24">
                  <c:v>0.15724202723839154</c:v>
                </c:pt>
                <c:pt idx="25">
                  <c:v>0.20835736466733284</c:v>
                </c:pt>
                <c:pt idx="26">
                  <c:v>0.26733660016226524</c:v>
                </c:pt>
                <c:pt idx="27">
                  <c:v>0.33286908404552334</c:v>
                </c:pt>
                <c:pt idx="28">
                  <c:v>0.40308245963472844</c:v>
                </c:pt>
                <c:pt idx="29">
                  <c:v>0.47571698610631996</c:v>
                </c:pt>
                <c:pt idx="30">
                  <c:v>0.54835151257791148</c:v>
                </c:pt>
                <c:pt idx="31">
                  <c:v>0.61864298980848387</c:v>
                </c:pt>
                <c:pt idx="32">
                  <c:v>0.68454124971214558</c:v>
                </c:pt>
                <c:pt idx="33">
                  <c:v>0.74444875871547422</c:v>
                </c:pt>
                <c:pt idx="34">
                  <c:v>0.79730832548311725</c:v>
                </c:pt>
                <c:pt idx="35">
                  <c:v>0.84261652556966848</c:v>
                </c:pt>
                <c:pt idx="36">
                  <c:v>0.8803733589751277</c:v>
                </c:pt>
                <c:pt idx="37">
                  <c:v>0.91098700768225682</c:v>
                </c:pt>
                <c:pt idx="38">
                  <c:v>0.93515567771420094</c:v>
                </c:pt>
                <c:pt idx="39">
                  <c:v>0.9537469623541579</c:v>
                </c:pt>
                <c:pt idx="40">
                  <c:v>0.96769042583412568</c:v>
                </c:pt>
                <c:pt idx="41">
                  <c:v>0.97789296008776061</c:v>
                </c:pt>
                <c:pt idx="42">
                  <c:v>0.98518048455464269</c:v>
                </c:pt>
                <c:pt idx="43">
                  <c:v>0.99026480395014183</c:v>
                </c:pt>
                <c:pt idx="44">
                  <c:v>0.99373138535616401</c:v>
                </c:pt>
                <c:pt idx="45">
                  <c:v>0.99604243962684547</c:v>
                </c:pt>
                <c:pt idx="46">
                  <c:v>0.99754964893381159</c:v>
                </c:pt>
                <c:pt idx="47">
                  <c:v>0.9985116974276198</c:v>
                </c:pt>
                <c:pt idx="48">
                  <c:v>0.99911297773624985</c:v>
                </c:pt>
                <c:pt idx="49">
                  <c:v>0.99948110853745198</c:v>
                </c:pt>
                <c:pt idx="50">
                  <c:v>0.99970198701817325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6-4258-A1DA-F2950BCD5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80895"/>
        <c:axId val="1797892415"/>
      </c:barChart>
      <c:catAx>
        <c:axId val="179788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2415"/>
        <c:crosses val="autoZero"/>
        <c:auto val="1"/>
        <c:lblAlgn val="ctr"/>
        <c:lblOffset val="100"/>
        <c:noMultiLvlLbl val="0"/>
      </c:catAx>
      <c:valAx>
        <c:axId val="17978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CUMMULATIVE DISTRIBUTIVE FUNCTION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15835883377495E-3"/>
              <c:y val="0.16421176320656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8089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k'!$G$143:$G$144</c:f>
              <c:strCache>
                <c:ptCount val="2"/>
                <c:pt idx="0">
                  <c:v>POISSON AS LIMITING CASE OF B.D</c:v>
                </c:pt>
                <c:pt idx="1">
                  <c:v>P(X)B.D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k'!$D$145:$D$195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'poisson distribution k'!$G$145:$G$195</c:f>
              <c:numCache>
                <c:formatCode>General</c:formatCode>
                <c:ptCount val="51"/>
                <c:pt idx="0">
                  <c:v>1.2676506002282335E-20</c:v>
                </c:pt>
                <c:pt idx="1">
                  <c:v>9.5073795017117106E-19</c:v>
                </c:pt>
                <c:pt idx="2">
                  <c:v>3.4939619668790754E-17</c:v>
                </c:pt>
                <c:pt idx="3">
                  <c:v>8.3855087205096689E-16</c:v>
                </c:pt>
                <c:pt idx="4">
                  <c:v>1.4779459119898525E-14</c:v>
                </c:pt>
                <c:pt idx="5">
                  <c:v>2.0395653585459816E-13</c:v>
                </c:pt>
                <c:pt idx="6">
                  <c:v>2.2945110283642206E-12</c:v>
                </c:pt>
                <c:pt idx="7">
                  <c:v>2.1633961124577119E-11</c:v>
                </c:pt>
                <c:pt idx="8">
                  <c:v>1.744238115669023E-10</c:v>
                </c:pt>
                <c:pt idx="9">
                  <c:v>1.2209666809683165E-9</c:v>
                </c:pt>
                <c:pt idx="10">
                  <c:v>7.5089450879551504E-9</c:v>
                </c:pt>
                <c:pt idx="11">
                  <c:v>4.0957882297937133E-8</c:v>
                </c:pt>
                <c:pt idx="12">
                  <c:v>1.9966967620244384E-7</c:v>
                </c:pt>
                <c:pt idx="13">
                  <c:v>8.7547473411840246E-7</c:v>
                </c:pt>
                <c:pt idx="14">
                  <c:v>3.4706319816836722E-6</c:v>
                </c:pt>
                <c:pt idx="15">
                  <c:v>1.2494275134061228E-5</c:v>
                </c:pt>
                <c:pt idx="16">
                  <c:v>4.0996840283638554E-5</c:v>
                </c:pt>
                <c:pt idx="17">
                  <c:v>1.2299052085091563E-4</c:v>
                </c:pt>
                <c:pt idx="18">
                  <c:v>3.3822393234001662E-4</c:v>
                </c:pt>
                <c:pt idx="19">
                  <c:v>8.5446046064846428E-4</c:v>
                </c:pt>
                <c:pt idx="20">
                  <c:v>1.986620571007684E-3</c:v>
                </c:pt>
                <c:pt idx="21">
                  <c:v>4.2570440807307413E-3</c:v>
                </c:pt>
                <c:pt idx="22">
                  <c:v>8.4173371596267012E-3</c:v>
                </c:pt>
                <c:pt idx="23">
                  <c:v>1.5370789595840064E-2</c:v>
                </c:pt>
                <c:pt idx="24">
                  <c:v>2.5938207442980088E-2</c:v>
                </c:pt>
                <c:pt idx="25">
                  <c:v>4.0463603611048948E-2</c:v>
                </c:pt>
                <c:pt idx="26">
                  <c:v>5.8360966746705253E-2</c:v>
                </c:pt>
                <c:pt idx="27">
                  <c:v>7.7814622328940292E-2</c:v>
                </c:pt>
                <c:pt idx="28">
                  <c:v>9.5878731083872876E-2</c:v>
                </c:pt>
                <c:pt idx="29">
                  <c:v>0.10910338364716567</c:v>
                </c:pt>
                <c:pt idx="30">
                  <c:v>0.11455855282952399</c:v>
                </c:pt>
                <c:pt idx="31">
                  <c:v>0.11086311564147482</c:v>
                </c:pt>
                <c:pt idx="32">
                  <c:v>9.8737462368188561E-2</c:v>
                </c:pt>
                <c:pt idx="33">
                  <c:v>8.0785196483063329E-2</c:v>
                </c:pt>
                <c:pt idx="34">
                  <c:v>6.0588897362297466E-2</c:v>
                </c:pt>
                <c:pt idx="35">
                  <c:v>4.1546672477004012E-2</c:v>
                </c:pt>
                <c:pt idx="36">
                  <c:v>2.596667029812751E-2</c:v>
                </c:pt>
                <c:pt idx="37">
                  <c:v>1.4737839898937226E-2</c:v>
                </c:pt>
                <c:pt idx="38">
                  <c:v>7.5628388955072626E-3</c:v>
                </c:pt>
                <c:pt idx="39">
                  <c:v>3.4905410286956537E-3</c:v>
                </c:pt>
                <c:pt idx="40">
                  <c:v>1.4398481743369603E-3</c:v>
                </c:pt>
                <c:pt idx="41">
                  <c:v>5.2677372231839988E-4</c:v>
                </c:pt>
                <c:pt idx="42">
                  <c:v>1.6932012503091434E-4</c:v>
                </c:pt>
                <c:pt idx="43">
                  <c:v>4.7252127915604095E-5</c:v>
                </c:pt>
                <c:pt idx="44">
                  <c:v>1.1276075979860058E-5</c:v>
                </c:pt>
                <c:pt idx="45">
                  <c:v>2.2552151959720124E-6</c:v>
                </c:pt>
                <c:pt idx="46">
                  <c:v>3.6769812977804516E-7</c:v>
                </c:pt>
                <c:pt idx="47">
                  <c:v>4.6940186780175838E-8</c:v>
                </c:pt>
                <c:pt idx="48">
                  <c:v>4.4006425106414753E-9</c:v>
                </c:pt>
                <c:pt idx="49">
                  <c:v>2.6942709248825439E-10</c:v>
                </c:pt>
                <c:pt idx="50">
                  <c:v>8.0828127746476279E-12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F-4FDE-9911-734A4C442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95775"/>
        <c:axId val="1797894815"/>
      </c:barChart>
      <c:catAx>
        <c:axId val="17978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4815"/>
        <c:crosses val="autoZero"/>
        <c:auto val="1"/>
        <c:lblAlgn val="ctr"/>
        <c:lblOffset val="100"/>
        <c:noMultiLvlLbl val="0"/>
      </c:catAx>
      <c:valAx>
        <c:axId val="179789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POISSON AS LIMITING CASE OF B.D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577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k'!$E$199:$E$200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k'!$D$201:$D$301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'poisson distribution k'!$E$201:$E$301</c:f>
              <c:numCache>
                <c:formatCode>General</c:formatCode>
                <c:ptCount val="101"/>
                <c:pt idx="0">
                  <c:v>7.0954741622847037E-23</c:v>
                </c:pt>
                <c:pt idx="1">
                  <c:v>3.6186918227651994E-21</c:v>
                </c:pt>
                <c:pt idx="2">
                  <c:v>9.2276641480512032E-20</c:v>
                </c:pt>
                <c:pt idx="3">
                  <c:v>1.5687029051687168E-18</c:v>
                </c:pt>
                <c:pt idx="4">
                  <c:v>2.0000962040901132E-17</c:v>
                </c:pt>
                <c:pt idx="5">
                  <c:v>2.0400981281719239E-16</c:v>
                </c:pt>
                <c:pt idx="6">
                  <c:v>1.7340834089461216E-15</c:v>
                </c:pt>
                <c:pt idx="7">
                  <c:v>1.2634036265178884E-14</c:v>
                </c:pt>
                <c:pt idx="8">
                  <c:v>8.0541981190515683E-14</c:v>
                </c:pt>
                <c:pt idx="9">
                  <c:v>4.5640456007958881E-13</c:v>
                </c:pt>
                <c:pt idx="10">
                  <c:v>2.327663256405904E-12</c:v>
                </c:pt>
                <c:pt idx="11">
                  <c:v>1.0791893279700109E-11</c:v>
                </c:pt>
                <c:pt idx="12">
                  <c:v>4.5865546438725242E-11</c:v>
                </c:pt>
                <c:pt idx="13">
                  <c:v>1.7993406679807722E-10</c:v>
                </c:pt>
                <c:pt idx="14">
                  <c:v>6.5547410047870656E-10</c:v>
                </c:pt>
                <c:pt idx="15">
                  <c:v>2.2286119416275988E-9</c:v>
                </c:pt>
                <c:pt idx="16">
                  <c:v>7.1037005639379966E-9</c:v>
                </c:pt>
                <c:pt idx="17">
                  <c:v>2.1311101691814005E-8</c:v>
                </c:pt>
                <c:pt idx="18">
                  <c:v>6.0381454793472707E-8</c:v>
                </c:pt>
                <c:pt idx="19">
                  <c:v>1.6207653655090061E-7</c:v>
                </c:pt>
                <c:pt idx="20">
                  <c:v>4.1329516820479644E-7</c:v>
                </c:pt>
                <c:pt idx="21">
                  <c:v>1.0037168370687922E-6</c:v>
                </c:pt>
                <c:pt idx="22">
                  <c:v>2.3267981222958382E-6</c:v>
                </c:pt>
                <c:pt idx="23">
                  <c:v>5.1594219233516331E-6</c:v>
                </c:pt>
                <c:pt idx="24">
                  <c:v>1.0963771587122265E-5</c:v>
                </c:pt>
                <c:pt idx="25">
                  <c:v>2.2366094037729412E-5</c:v>
                </c:pt>
                <c:pt idx="26">
                  <c:v>4.3871953689392283E-5</c:v>
                </c:pt>
                <c:pt idx="27">
                  <c:v>8.2869245857740751E-5</c:v>
                </c:pt>
                <c:pt idx="28">
                  <c:v>1.5094041209802781E-4</c:v>
                </c:pt>
                <c:pt idx="29">
                  <c:v>2.6544693162067055E-4</c:v>
                </c:pt>
                <c:pt idx="30">
                  <c:v>4.5125978375513872E-4</c:v>
                </c:pt>
                <c:pt idx="31">
                  <c:v>7.4239512811329577E-4</c:v>
                </c:pt>
                <c:pt idx="32">
                  <c:v>1.1831922354305616E-3</c:v>
                </c:pt>
                <c:pt idx="33">
                  <c:v>1.8285698183926841E-3</c:v>
                </c:pt>
                <c:pt idx="34">
                  <c:v>2.7428547275890241E-3</c:v>
                </c:pt>
                <c:pt idx="35">
                  <c:v>3.9967311744868676E-3</c:v>
                </c:pt>
                <c:pt idx="36">
                  <c:v>5.6620358305230619E-3</c:v>
                </c:pt>
                <c:pt idx="37">
                  <c:v>7.804427766396645E-3</c:v>
                </c:pt>
                <c:pt idx="38">
                  <c:v>1.0474363581216567E-2</c:v>
                </c:pt>
                <c:pt idx="39">
                  <c:v>1.3697244683129323E-2</c:v>
                </c:pt>
                <c:pt idx="40">
                  <c:v>1.7463986970989942E-2</c:v>
                </c:pt>
                <c:pt idx="41">
                  <c:v>2.1723495988304559E-2</c:v>
                </c:pt>
                <c:pt idx="42">
                  <c:v>2.6378530842941204E-2</c:v>
                </c:pt>
                <c:pt idx="43">
                  <c:v>3.128616448813959E-2</c:v>
                </c:pt>
                <c:pt idx="44">
                  <c:v>3.6263508838525416E-2</c:v>
                </c:pt>
                <c:pt idx="45">
                  <c:v>4.1098643350328833E-2</c:v>
                </c:pt>
                <c:pt idx="46">
                  <c:v>4.5565887192755873E-2</c:v>
                </c:pt>
                <c:pt idx="47">
                  <c:v>4.9443835038947871E-2</c:v>
                </c:pt>
                <c:pt idx="48">
                  <c:v>5.2534074728882114E-2</c:v>
                </c:pt>
                <c:pt idx="49">
                  <c:v>5.4678322676999763E-2</c:v>
                </c:pt>
                <c:pt idx="50">
                  <c:v>5.5771889130539744E-2</c:v>
                </c:pt>
                <c:pt idx="51">
                  <c:v>5.5771889130539744E-2</c:v>
                </c:pt>
                <c:pt idx="52">
                  <c:v>5.4699352801106299E-2</c:v>
                </c:pt>
                <c:pt idx="53">
                  <c:v>5.2635226280309838E-2</c:v>
                </c:pt>
                <c:pt idx="54">
                  <c:v>4.9711047042514833E-2</c:v>
                </c:pt>
                <c:pt idx="55">
                  <c:v>4.6095698166695571E-2</c:v>
                </c:pt>
                <c:pt idx="56">
                  <c:v>4.1980010830383462E-2</c:v>
                </c:pt>
                <c:pt idx="57">
                  <c:v>3.7561062321922044E-2</c:v>
                </c:pt>
                <c:pt idx="58">
                  <c:v>3.3027830662379742E-2</c:v>
                </c:pt>
                <c:pt idx="59">
                  <c:v>2.8549480742057074E-2</c:v>
                </c:pt>
                <c:pt idx="60">
                  <c:v>2.4267058630748527E-2</c:v>
                </c:pt>
                <c:pt idx="61">
                  <c:v>2.0288852297838882E-2</c:v>
                </c:pt>
                <c:pt idx="62">
                  <c:v>1.6689217212738465E-2</c:v>
                </c:pt>
                <c:pt idx="63">
                  <c:v>1.3510318696026369E-2</c:v>
                </c:pt>
                <c:pt idx="64">
                  <c:v>1.0766035210896021E-2</c:v>
                </c:pt>
                <c:pt idx="65">
                  <c:v>8.4471968577799449E-3</c:v>
                </c:pt>
                <c:pt idx="66">
                  <c:v>6.5273793901026939E-3</c:v>
                </c:pt>
                <c:pt idx="67">
                  <c:v>4.9686022223169894E-3</c:v>
                </c:pt>
                <c:pt idx="68">
                  <c:v>3.7264516667377318E-3</c:v>
                </c:pt>
                <c:pt idx="69">
                  <c:v>2.7543338406322308E-3</c:v>
                </c:pt>
                <c:pt idx="70">
                  <c:v>2.0067289410320511E-3</c:v>
                </c:pt>
                <c:pt idx="71">
                  <c:v>1.4414531829948602E-3</c:v>
                </c:pt>
                <c:pt idx="72">
                  <c:v>1.0210293379546876E-3</c:v>
                </c:pt>
                <c:pt idx="73">
                  <c:v>7.1332186624231827E-4</c:v>
                </c:pt>
                <c:pt idx="74">
                  <c:v>4.9161371862646336E-4</c:v>
                </c:pt>
                <c:pt idx="75">
                  <c:v>3.3429732866599508E-4</c:v>
                </c:pt>
                <c:pt idx="76">
                  <c:v>2.2433110213112705E-4</c:v>
                </c:pt>
                <c:pt idx="77">
                  <c:v>1.4858293777516302E-4</c:v>
                </c:pt>
                <c:pt idx="78">
                  <c:v>9.715038239145291E-5</c:v>
                </c:pt>
                <c:pt idx="79">
                  <c:v>6.2717335467899285E-5</c:v>
                </c:pt>
                <c:pt idx="80">
                  <c:v>3.9982301360786075E-5</c:v>
                </c:pt>
                <c:pt idx="81">
                  <c:v>2.517404159753211E-5</c:v>
                </c:pt>
                <c:pt idx="82">
                  <c:v>1.5657025871635647E-5</c:v>
                </c:pt>
                <c:pt idx="83">
                  <c:v>9.6205821620894629E-6</c:v>
                </c:pt>
                <c:pt idx="84">
                  <c:v>5.841067741268609E-6</c:v>
                </c:pt>
                <c:pt idx="85">
                  <c:v>3.5046406447611327E-6</c:v>
                </c:pt>
                <c:pt idx="86">
                  <c:v>2.0783334056141722E-6</c:v>
                </c:pt>
                <c:pt idx="87">
                  <c:v>1.2183333757048649E-6</c:v>
                </c:pt>
                <c:pt idx="88">
                  <c:v>7.060795700107659E-7</c:v>
                </c:pt>
                <c:pt idx="89">
                  <c:v>4.0460739405111562E-7</c:v>
                </c:pt>
                <c:pt idx="90">
                  <c:v>2.2927752329563132E-7</c:v>
                </c:pt>
                <c:pt idx="91">
                  <c:v>1.284961943744742E-7</c:v>
                </c:pt>
                <c:pt idx="92">
                  <c:v>7.1231586011937387E-8</c:v>
                </c:pt>
                <c:pt idx="93">
                  <c:v>3.9062482651707743E-8</c:v>
                </c:pt>
                <c:pt idx="94">
                  <c:v>2.1193474630181719E-8</c:v>
                </c:pt>
                <c:pt idx="95">
                  <c:v>1.1377549538308089E-8</c:v>
                </c:pt>
                <c:pt idx="96">
                  <c:v>6.0443231922261399E-9</c:v>
                </c:pt>
                <c:pt idx="97">
                  <c:v>3.1779431216859439E-9</c:v>
                </c:pt>
                <c:pt idx="98">
                  <c:v>1.6538275429181973E-9</c:v>
                </c:pt>
                <c:pt idx="99">
                  <c:v>8.5197176453360973E-10</c:v>
                </c:pt>
                <c:pt idx="100">
                  <c:v>4.3450559991214285E-10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F-4A08-9B3A-D908F098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913055"/>
        <c:axId val="1797914015"/>
      </c:barChart>
      <c:catAx>
        <c:axId val="179791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914015"/>
        <c:crosses val="autoZero"/>
        <c:auto val="1"/>
        <c:lblAlgn val="ctr"/>
        <c:lblOffset val="100"/>
        <c:noMultiLvlLbl val="0"/>
      </c:catAx>
      <c:valAx>
        <c:axId val="17979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PROBABILITY MASS FUNCTION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50872762192404E-2"/>
              <c:y val="0.244494750656167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91305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k'!$F$199:$F$200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k'!$D$201:$D$301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'poisson distribution k'!$F$201:$F$301</c:f>
              <c:numCache>
                <c:formatCode>General</c:formatCode>
                <c:ptCount val="101"/>
                <c:pt idx="0">
                  <c:v>7.0954741622847037E-23</c:v>
                </c:pt>
                <c:pt idx="1">
                  <c:v>3.6896465643880242E-21</c:v>
                </c:pt>
                <c:pt idx="2">
                  <c:v>9.5966288044900813E-20</c:v>
                </c:pt>
                <c:pt idx="3">
                  <c:v>1.6646691932136169E-18</c:v>
                </c:pt>
                <c:pt idx="4">
                  <c:v>2.1665631234114828E-17</c:v>
                </c:pt>
                <c:pt idx="5">
                  <c:v>2.2567544405130536E-16</c:v>
                </c:pt>
                <c:pt idx="6">
                  <c:v>1.9597588529974276E-15</c:v>
                </c:pt>
                <c:pt idx="7">
                  <c:v>1.4593795118176374E-14</c:v>
                </c:pt>
                <c:pt idx="8">
                  <c:v>9.5135776308692016E-14</c:v>
                </c:pt>
                <c:pt idx="9">
                  <c:v>5.5154033638828116E-13</c:v>
                </c:pt>
                <c:pt idx="10">
                  <c:v>2.8792035927941863E-12</c:v>
                </c:pt>
                <c:pt idx="11">
                  <c:v>1.3671096872494223E-11</c:v>
                </c:pt>
                <c:pt idx="12">
                  <c:v>5.9536643311219897E-11</c:v>
                </c:pt>
                <c:pt idx="13">
                  <c:v>2.3947071010929595E-10</c:v>
                </c:pt>
                <c:pt idx="14">
                  <c:v>8.9494481058800127E-10</c:v>
                </c:pt>
                <c:pt idx="15">
                  <c:v>3.1235567522156117E-9</c:v>
                </c:pt>
                <c:pt idx="16">
                  <c:v>1.0227257316153614E-8</c:v>
                </c:pt>
                <c:pt idx="17">
                  <c:v>3.153835900796745E-8</c:v>
                </c:pt>
                <c:pt idx="18">
                  <c:v>9.1919813801440196E-8</c:v>
                </c:pt>
                <c:pt idx="19">
                  <c:v>2.5399635035234084E-7</c:v>
                </c:pt>
                <c:pt idx="20">
                  <c:v>6.6729151855713782E-7</c:v>
                </c:pt>
                <c:pt idx="21">
                  <c:v>1.6710083556259312E-6</c:v>
                </c:pt>
                <c:pt idx="22">
                  <c:v>3.9978064779217622E-6</c:v>
                </c:pt>
                <c:pt idx="23">
                  <c:v>9.1572284012734334E-6</c:v>
                </c:pt>
                <c:pt idx="24">
                  <c:v>2.0120999988395689E-5</c:v>
                </c:pt>
                <c:pt idx="25">
                  <c:v>4.2487094026125083E-5</c:v>
                </c:pt>
                <c:pt idx="26">
                  <c:v>8.6359047715517116E-5</c:v>
                </c:pt>
                <c:pt idx="27">
                  <c:v>1.6922829357325793E-4</c:v>
                </c:pt>
                <c:pt idx="28">
                  <c:v>3.2016870567128661E-4</c:v>
                </c:pt>
                <c:pt idx="29">
                  <c:v>5.856156372919558E-4</c:v>
                </c:pt>
                <c:pt idx="30">
                  <c:v>1.0368754210470985E-3</c:v>
                </c:pt>
                <c:pt idx="31">
                  <c:v>1.7792705491603892E-3</c:v>
                </c:pt>
                <c:pt idx="32">
                  <c:v>2.9624627845909468E-3</c:v>
                </c:pt>
                <c:pt idx="33">
                  <c:v>4.7910326029836289E-3</c:v>
                </c:pt>
                <c:pt idx="34">
                  <c:v>7.5338873305726565E-3</c:v>
                </c:pt>
                <c:pt idx="35">
                  <c:v>1.1530618505059532E-2</c:v>
                </c:pt>
                <c:pt idx="36">
                  <c:v>1.7192654335582584E-2</c:v>
                </c:pt>
                <c:pt idx="37">
                  <c:v>2.4997082101979252E-2</c:v>
                </c:pt>
                <c:pt idx="38">
                  <c:v>3.5471445683195726E-2</c:v>
                </c:pt>
                <c:pt idx="39">
                  <c:v>4.9168690366325152E-2</c:v>
                </c:pt>
                <c:pt idx="40">
                  <c:v>6.6632677337315108E-2</c:v>
                </c:pt>
                <c:pt idx="41">
                  <c:v>8.8356173325619666E-2</c:v>
                </c:pt>
                <c:pt idx="42">
                  <c:v>0.11473470416856089</c:v>
                </c:pt>
                <c:pt idx="43">
                  <c:v>0.14602086865670047</c:v>
                </c:pt>
                <c:pt idx="44">
                  <c:v>0.18228437749522591</c:v>
                </c:pt>
                <c:pt idx="45">
                  <c:v>0.22338302084555473</c:v>
                </c:pt>
                <c:pt idx="46">
                  <c:v>0.26894890803831056</c:v>
                </c:pt>
                <c:pt idx="47">
                  <c:v>0.31839274307725846</c:v>
                </c:pt>
                <c:pt idx="48">
                  <c:v>0.37092681780614056</c:v>
                </c:pt>
                <c:pt idx="49">
                  <c:v>0.42560514048314035</c:v>
                </c:pt>
                <c:pt idx="50">
                  <c:v>0.48137702961368012</c:v>
                </c:pt>
                <c:pt idx="51">
                  <c:v>0.53714891874421988</c:v>
                </c:pt>
                <c:pt idx="52">
                  <c:v>0.59184827154532615</c:v>
                </c:pt>
                <c:pt idx="53">
                  <c:v>0.64448349782563596</c:v>
                </c:pt>
                <c:pt idx="54">
                  <c:v>0.6941945448681508</c:v>
                </c:pt>
                <c:pt idx="55">
                  <c:v>0.74029024303484636</c:v>
                </c:pt>
                <c:pt idx="56">
                  <c:v>0.78227025386522986</c:v>
                </c:pt>
                <c:pt idx="57">
                  <c:v>0.81983131618715188</c:v>
                </c:pt>
                <c:pt idx="58">
                  <c:v>0.85285914684953168</c:v>
                </c:pt>
                <c:pt idx="59">
                  <c:v>0.88140862759158867</c:v>
                </c:pt>
                <c:pt idx="60">
                  <c:v>0.90567568622233718</c:v>
                </c:pt>
                <c:pt idx="61">
                  <c:v>0.92596453852017602</c:v>
                </c:pt>
                <c:pt idx="62">
                  <c:v>0.94265375573291454</c:v>
                </c:pt>
                <c:pt idx="63">
                  <c:v>0.95616407442894091</c:v>
                </c:pt>
                <c:pt idx="64">
                  <c:v>0.96693010963983694</c:v>
                </c:pt>
                <c:pt idx="65">
                  <c:v>0.97537730649761689</c:v>
                </c:pt>
                <c:pt idx="66">
                  <c:v>0.98190468588771962</c:v>
                </c:pt>
                <c:pt idx="67">
                  <c:v>0.98687328811003661</c:v>
                </c:pt>
                <c:pt idx="68">
                  <c:v>0.99059973977677429</c:v>
                </c:pt>
                <c:pt idx="69">
                  <c:v>0.99335407361740646</c:v>
                </c:pt>
                <c:pt idx="70">
                  <c:v>0.99536080255843862</c:v>
                </c:pt>
                <c:pt idx="71">
                  <c:v>0.99680225574143344</c:v>
                </c:pt>
                <c:pt idx="72">
                  <c:v>0.99782328507938811</c:v>
                </c:pt>
                <c:pt idx="73">
                  <c:v>0.99853660694563051</c:v>
                </c:pt>
                <c:pt idx="74">
                  <c:v>0.99902822066425689</c:v>
                </c:pt>
                <c:pt idx="75">
                  <c:v>0.99936251799292286</c:v>
                </c:pt>
                <c:pt idx="76">
                  <c:v>0.99958684909505402</c:v>
                </c:pt>
                <c:pt idx="77">
                  <c:v>0.99973543203282911</c:v>
                </c:pt>
                <c:pt idx="78">
                  <c:v>0.99983258241522066</c:v>
                </c:pt>
                <c:pt idx="79">
                  <c:v>0.99989529975068847</c:v>
                </c:pt>
                <c:pt idx="80">
                  <c:v>0.99993528205204929</c:v>
                </c:pt>
                <c:pt idx="81">
                  <c:v>0.99996045609364681</c:v>
                </c:pt>
                <c:pt idx="82">
                  <c:v>0.99997611311951851</c:v>
                </c:pt>
                <c:pt idx="83">
                  <c:v>0.99998573370168065</c:v>
                </c:pt>
                <c:pt idx="84">
                  <c:v>0.99999157476942191</c:v>
                </c:pt>
                <c:pt idx="85">
                  <c:v>0.9999950794100666</c:v>
                </c:pt>
                <c:pt idx="86">
                  <c:v>0.9999971577434722</c:v>
                </c:pt>
                <c:pt idx="87">
                  <c:v>0.99999837607684794</c:v>
                </c:pt>
                <c:pt idx="88">
                  <c:v>0.99999908215641797</c:v>
                </c:pt>
                <c:pt idx="89">
                  <c:v>0.99999948676381201</c:v>
                </c:pt>
                <c:pt idx="90">
                  <c:v>0.99999971604133531</c:v>
                </c:pt>
                <c:pt idx="91">
                  <c:v>0.99999984453752966</c:v>
                </c:pt>
                <c:pt idx="92">
                  <c:v>0.99999991576911573</c:v>
                </c:pt>
                <c:pt idx="93">
                  <c:v>0.99999995483159831</c:v>
                </c:pt>
                <c:pt idx="94">
                  <c:v>0.99999997602507296</c:v>
                </c:pt>
                <c:pt idx="95">
                  <c:v>0.99999998740262241</c:v>
                </c:pt>
                <c:pt idx="96">
                  <c:v>0.99999999344694568</c:v>
                </c:pt>
                <c:pt idx="97">
                  <c:v>0.99999999662488881</c:v>
                </c:pt>
                <c:pt idx="98">
                  <c:v>0.99999999827871633</c:v>
                </c:pt>
                <c:pt idx="99">
                  <c:v>0.99999999913068804</c:v>
                </c:pt>
                <c:pt idx="100">
                  <c:v>0.9999999995651937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3-41C2-98C8-90F13B63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22287"/>
        <c:axId val="1786528527"/>
      </c:barChart>
      <c:catAx>
        <c:axId val="178652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28527"/>
        <c:crosses val="autoZero"/>
        <c:auto val="1"/>
        <c:lblAlgn val="ctr"/>
        <c:lblOffset val="100"/>
        <c:noMultiLvlLbl val="0"/>
      </c:catAx>
      <c:valAx>
        <c:axId val="17865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CUMMULATIVE DISTRIBUTIVE FUNCTION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705338868456637E-2"/>
              <c:y val="0.17675925925925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222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k'!$G$199:$G$200</c:f>
              <c:strCache>
                <c:ptCount val="2"/>
                <c:pt idx="0">
                  <c:v>POISSON AS LIMITING CASE OF B.D</c:v>
                </c:pt>
                <c:pt idx="1">
                  <c:v>P(X)B.D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k'!$D$201:$D$301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'poisson distribution k'!$G$201:$G$301</c:f>
              <c:numCache>
                <c:formatCode>General</c:formatCode>
                <c:ptCount val="101"/>
                <c:pt idx="0">
                  <c:v>1.0461838291314289E-31</c:v>
                </c:pt>
                <c:pt idx="1">
                  <c:v>1.0888852099123243E-29</c:v>
                </c:pt>
                <c:pt idx="2">
                  <c:v>5.6099810457624993E-28</c:v>
                </c:pt>
                <c:pt idx="3">
                  <c:v>1.9073935555592559E-26</c:v>
                </c:pt>
                <c:pt idx="4">
                  <c:v>4.814222407832484E-25</c:v>
                </c:pt>
                <c:pt idx="5">
                  <c:v>9.6205848607133608E-24</c:v>
                </c:pt>
                <c:pt idx="6">
                  <c:v>1.5854331173522593E-22</c:v>
                </c:pt>
                <c:pt idx="7">
                  <c:v>2.2159085611039773E-21</c:v>
                </c:pt>
                <c:pt idx="8">
                  <c:v>2.6811363023765779E-20</c:v>
                </c:pt>
                <c:pt idx="9">
                  <c:v>2.8525831135489639E-19</c:v>
                </c:pt>
                <c:pt idx="10">
                  <c:v>2.7018037204042452E-18</c:v>
                </c:pt>
                <c:pt idx="11">
                  <c:v>2.3007938917728035E-17</c:v>
                </c:pt>
                <c:pt idx="12">
                  <c:v>1.77607201951646E-16</c:v>
                </c:pt>
                <c:pt idx="13">
                  <c:v>1.2513361418508511E-15</c:v>
                </c:pt>
                <c:pt idx="14">
                  <c:v>8.0935546084434093E-15</c:v>
                </c:pt>
                <c:pt idx="15">
                  <c:v>4.8297048316507594E-14</c:v>
                </c:pt>
                <c:pt idx="16">
                  <c:v>2.6705064343375177E-13</c:v>
                </c:pt>
                <c:pt idx="17">
                  <c:v>1.3734033090878552E-12</c:v>
                </c:pt>
                <c:pt idx="18">
                  <c:v>6.5914015956562764E-12</c:v>
                </c:pt>
                <c:pt idx="19">
                  <c:v>2.9608207812067203E-11</c:v>
                </c:pt>
                <c:pt idx="20">
                  <c:v>1.248076596649491E-10</c:v>
                </c:pt>
                <c:pt idx="21">
                  <c:v>4.9486418992516635E-10</c:v>
                </c:pt>
                <c:pt idx="22">
                  <c:v>1.849543433403057E-9</c:v>
                </c:pt>
                <c:pt idx="23">
                  <c:v>6.5283795723845017E-9</c:v>
                </c:pt>
                <c:pt idx="24">
                  <c:v>2.1800124643498388E-8</c:v>
                </c:pt>
                <c:pt idx="25">
                  <c:v>6.8977373974040508E-8</c:v>
                </c:pt>
                <c:pt idx="26">
                  <c:v>2.070945490193922E-7</c:v>
                </c:pt>
                <c:pt idx="27">
                  <c:v>5.907595071800288E-7</c:v>
                </c:pt>
                <c:pt idx="28">
                  <c:v>1.6030595081860379E-6</c:v>
                </c:pt>
                <c:pt idx="29">
                  <c:v>4.1424591935673302E-6</c:v>
                </c:pt>
                <c:pt idx="30">
                  <c:v>1.020397601354236E-5</c:v>
                </c:pt>
                <c:pt idx="31">
                  <c:v>2.3981694778371442E-5</c:v>
                </c:pt>
                <c:pt idx="32">
                  <c:v>5.3821163217531198E-5</c:v>
                </c:pt>
                <c:pt idx="33">
                  <c:v>1.1543091777266415E-4</c:v>
                </c:pt>
                <c:pt idx="34">
                  <c:v>2.3675116808475033E-4</c:v>
                </c:pt>
                <c:pt idx="35">
                  <c:v>4.6466730715642669E-4</c:v>
                </c:pt>
                <c:pt idx="36">
                  <c:v>8.7322682722423709E-4</c:v>
                </c:pt>
                <c:pt idx="37">
                  <c:v>1.5720972774737488E-3</c:v>
                </c:pt>
                <c:pt idx="38">
                  <c:v>2.7127543246633487E-3</c:v>
                </c:pt>
                <c:pt idx="39">
                  <c:v>4.4886076266800025E-3</c:v>
                </c:pt>
                <c:pt idx="40">
                  <c:v>7.1245195543885266E-3</c:v>
                </c:pt>
                <c:pt idx="41">
                  <c:v>1.0851682347650056E-2</c:v>
                </c:pt>
                <c:pt idx="42">
                  <c:v>1.586623526923174E-2</c:v>
                </c:pt>
                <c:pt idx="43">
                  <c:v>2.2274477421161606E-2</c:v>
                </c:pt>
                <c:pt idx="44">
                  <c:v>3.0033351513597741E-2</c:v>
                </c:pt>
                <c:pt idx="45">
                  <c:v>3.8900341008088535E-2</c:v>
                </c:pt>
                <c:pt idx="46">
                  <c:v>4.8409696773597355E-2</c:v>
                </c:pt>
                <c:pt idx="47">
                  <c:v>5.7889841473941425E-2</c:v>
                </c:pt>
                <c:pt idx="48">
                  <c:v>6.6529014244924967E-2</c:v>
                </c:pt>
                <c:pt idx="49">
                  <c:v>7.3483942431295746E-2</c:v>
                </c:pt>
                <c:pt idx="50">
                  <c:v>7.8012952760734777E-2</c:v>
                </c:pt>
                <c:pt idx="51">
                  <c:v>7.9605053837484466E-2</c:v>
                </c:pt>
                <c:pt idx="52">
                  <c:v>7.8074187417532831E-2</c:v>
                </c:pt>
                <c:pt idx="53">
                  <c:v>7.359476734621502E-2</c:v>
                </c:pt>
                <c:pt idx="54">
                  <c:v>6.6669182663974827E-2</c:v>
                </c:pt>
                <c:pt idx="55">
                  <c:v>5.8035585354243011E-2</c:v>
                </c:pt>
                <c:pt idx="56">
                  <c:v>4.8539237750724357E-2</c:v>
                </c:pt>
                <c:pt idx="57">
                  <c:v>3.8998227537638916E-2</c:v>
                </c:pt>
                <c:pt idx="58">
                  <c:v>3.0092580221689726E-2</c:v>
                </c:pt>
                <c:pt idx="59">
                  <c:v>2.2296197452389994E-2</c:v>
                </c:pt>
                <c:pt idx="60">
                  <c:v>1.5857601657465113E-2</c:v>
                </c:pt>
                <c:pt idx="61">
                  <c:v>1.082285292112037E-2</c:v>
                </c:pt>
                <c:pt idx="62">
                  <c:v>7.0857980448019876E-3</c:v>
                </c:pt>
                <c:pt idx="63">
                  <c:v>4.4484213186997889E-3</c:v>
                </c:pt>
                <c:pt idx="64">
                  <c:v>2.6767127003783559E-3</c:v>
                </c:pt>
                <c:pt idx="65">
                  <c:v>1.5429967089151148E-3</c:v>
                </c:pt>
                <c:pt idx="66">
                  <c:v>8.5165402764795627E-4</c:v>
                </c:pt>
                <c:pt idx="67">
                  <c:v>4.4982274868765127E-4</c:v>
                </c:pt>
                <c:pt idx="68">
                  <c:v>2.2720638836774197E-4</c:v>
                </c:pt>
                <c:pt idx="69">
                  <c:v>1.0967193901690411E-4</c:v>
                </c:pt>
                <c:pt idx="70">
                  <c:v>5.0551409791756698E-5</c:v>
                </c:pt>
                <c:pt idx="71">
                  <c:v>2.2231577172000017E-5</c:v>
                </c:pt>
                <c:pt idx="72">
                  <c:v>9.3198703620714178E-6</c:v>
                </c:pt>
                <c:pt idx="73">
                  <c:v>3.7206527472848843E-6</c:v>
                </c:pt>
                <c:pt idx="74">
                  <c:v>1.4129450725348228E-6</c:v>
                </c:pt>
                <c:pt idx="75">
                  <c:v>5.0981365066154474E-7</c:v>
                </c:pt>
                <c:pt idx="76">
                  <c:v>1.7454683259760126E-7</c:v>
                </c:pt>
                <c:pt idx="77">
                  <c:v>5.6624787463415015E-8</c:v>
                </c:pt>
                <c:pt idx="78">
                  <c:v>1.7378565069227066E-8</c:v>
                </c:pt>
                <c:pt idx="79">
                  <c:v>5.0371351091895208E-9</c:v>
                </c:pt>
                <c:pt idx="80">
                  <c:v>1.3762172709035745E-9</c:v>
                </c:pt>
                <c:pt idx="81">
                  <c:v>3.5367639615057968E-10</c:v>
                </c:pt>
                <c:pt idx="82">
                  <c:v>8.5294282695347901E-11</c:v>
                </c:pt>
                <c:pt idx="83">
                  <c:v>1.9252557539791033E-11</c:v>
                </c:pt>
                <c:pt idx="84">
                  <c:v>4.0553856625361763E-12</c:v>
                </c:pt>
                <c:pt idx="85">
                  <c:v>7.9452453796626514E-13</c:v>
                </c:pt>
                <c:pt idx="86">
                  <c:v>1.4423618214147946E-13</c:v>
                </c:pt>
                <c:pt idx="87">
                  <c:v>2.4157784201036011E-14</c:v>
                </c:pt>
                <c:pt idx="88">
                  <c:v>3.7144273945470128E-15</c:v>
                </c:pt>
                <c:pt idx="89">
                  <c:v>5.2126337203916314E-16</c:v>
                </c:pt>
                <c:pt idx="90">
                  <c:v>6.6310374538314773E-17</c:v>
                </c:pt>
                <c:pt idx="91">
                  <c:v>7.5842769711909379E-18</c:v>
                </c:pt>
                <c:pt idx="92">
                  <c:v>7.7222340944469446E-19</c:v>
                </c:pt>
                <c:pt idx="93">
                  <c:v>6.9139159765950641E-20</c:v>
                </c:pt>
                <c:pt idx="94">
                  <c:v>5.3588102554155758E-21</c:v>
                </c:pt>
                <c:pt idx="95">
                  <c:v>3.5226550765997241E-22</c:v>
                </c:pt>
                <c:pt idx="96">
                  <c:v>1.9096025606567202E-23</c:v>
                </c:pt>
                <c:pt idx="97">
                  <c:v>8.1960640095514016E-25</c:v>
                </c:pt>
                <c:pt idx="98">
                  <c:v>2.6114073166625583E-26</c:v>
                </c:pt>
                <c:pt idx="99">
                  <c:v>5.4908997381896324E-28</c:v>
                </c:pt>
                <c:pt idx="100">
                  <c:v>5.7150180948503657E-30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E9C-BDC1-F2678E3B2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91455"/>
        <c:axId val="1797892895"/>
      </c:barChart>
      <c:catAx>
        <c:axId val="179789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C000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2895"/>
        <c:crosses val="autoZero"/>
        <c:auto val="1"/>
        <c:lblAlgn val="ctr"/>
        <c:lblOffset val="100"/>
        <c:noMultiLvlLbl val="0"/>
      </c:catAx>
      <c:valAx>
        <c:axId val="179789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POISSON AS LIMITING CASE OF B.D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145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k'!$E$305:$E$306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k'!$D$307:$D$330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'poisson distribution k'!$E$307:$E$330</c:f>
              <c:numCache>
                <c:formatCode>General</c:formatCode>
                <c:ptCount val="24"/>
                <c:pt idx="0">
                  <c:v>1.0051835744633576E-2</c:v>
                </c:pt>
                <c:pt idx="1">
                  <c:v>4.6238444425314454E-2</c:v>
                </c:pt>
                <c:pt idx="2">
                  <c:v>0.10634842217822328</c:v>
                </c:pt>
                <c:pt idx="3">
                  <c:v>0.16306758067327573</c:v>
                </c:pt>
                <c:pt idx="4">
                  <c:v>0.18752771777426711</c:v>
                </c:pt>
                <c:pt idx="5">
                  <c:v>0.17252550035232572</c:v>
                </c:pt>
                <c:pt idx="6">
                  <c:v>0.13226955027011639</c:v>
                </c:pt>
                <c:pt idx="7">
                  <c:v>8.6919990177505069E-2</c:v>
                </c:pt>
                <c:pt idx="8">
                  <c:v>4.9978994352065438E-2</c:v>
                </c:pt>
                <c:pt idx="9">
                  <c:v>2.5544819335500107E-2</c:v>
                </c:pt>
                <c:pt idx="10">
                  <c:v>1.1750616894330044E-2</c:v>
                </c:pt>
                <c:pt idx="11">
                  <c:v>4.9138943376289329E-3</c:v>
                </c:pt>
                <c:pt idx="12">
                  <c:v>1.8836594960910909E-3</c:v>
                </c:pt>
                <c:pt idx="13">
                  <c:v>6.6652566784761581E-4</c:v>
                </c:pt>
                <c:pt idx="14">
                  <c:v>2.1900129086421642E-4</c:v>
                </c:pt>
                <c:pt idx="15">
                  <c:v>6.7160395865026402E-5</c:v>
                </c:pt>
                <c:pt idx="16">
                  <c:v>1.9308613811195148E-5</c:v>
                </c:pt>
                <c:pt idx="17">
                  <c:v>5.2246837371469271E-6</c:v>
                </c:pt>
                <c:pt idx="18">
                  <c:v>1.3351969550486532E-6</c:v>
                </c:pt>
                <c:pt idx="19">
                  <c:v>3.2325821016967437E-7</c:v>
                </c:pt>
                <c:pt idx="20">
                  <c:v>7.4349388339024849E-8</c:v>
                </c:pt>
                <c:pt idx="21">
                  <c:v>1.6286056493310227E-8</c:v>
                </c:pt>
                <c:pt idx="22">
                  <c:v>3.40526635769216E-9</c:v>
                </c:pt>
                <c:pt idx="23">
                  <c:v>6.8105327153842869E-10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1-41BC-9058-4F76C9EE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16144"/>
        <c:axId val="738316624"/>
      </c:barChart>
      <c:catAx>
        <c:axId val="73831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6624"/>
        <c:crosses val="autoZero"/>
        <c:auto val="1"/>
        <c:lblAlgn val="ctr"/>
        <c:lblOffset val="100"/>
        <c:noMultiLvlLbl val="0"/>
      </c:catAx>
      <c:valAx>
        <c:axId val="7383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PROBABILITY MASS FUNCTION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61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k'!$F$305:$F$306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'poisson distribution k'!$D$307:$D$330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'poisson distribution k'!$F$307:$F$330</c:f>
              <c:numCache>
                <c:formatCode>General</c:formatCode>
                <c:ptCount val="24"/>
                <c:pt idx="0">
                  <c:v>1.0051835744633576E-2</c:v>
                </c:pt>
                <c:pt idx="1">
                  <c:v>5.6290280169948026E-2</c:v>
                </c:pt>
                <c:pt idx="2">
                  <c:v>0.16263870234817129</c:v>
                </c:pt>
                <c:pt idx="3">
                  <c:v>0.32570628302144694</c:v>
                </c:pt>
                <c:pt idx="4">
                  <c:v>0.51323400079571413</c:v>
                </c:pt>
                <c:pt idx="5">
                  <c:v>0.68575950114803974</c:v>
                </c:pt>
                <c:pt idx="6">
                  <c:v>0.81802905141815607</c:v>
                </c:pt>
                <c:pt idx="7">
                  <c:v>0.90494904159566114</c:v>
                </c:pt>
                <c:pt idx="8">
                  <c:v>0.95492803594772668</c:v>
                </c:pt>
                <c:pt idx="9">
                  <c:v>0.9804728552832267</c:v>
                </c:pt>
                <c:pt idx="10">
                  <c:v>0.9922234721775568</c:v>
                </c:pt>
                <c:pt idx="11">
                  <c:v>0.9971373665151857</c:v>
                </c:pt>
                <c:pt idx="12">
                  <c:v>0.99902102601127685</c:v>
                </c:pt>
                <c:pt idx="13">
                  <c:v>0.99968755167912438</c:v>
                </c:pt>
                <c:pt idx="14">
                  <c:v>0.99990655296998865</c:v>
                </c:pt>
                <c:pt idx="15">
                  <c:v>0.99997371336585372</c:v>
                </c:pt>
                <c:pt idx="16">
                  <c:v>0.99999302197966489</c:v>
                </c:pt>
                <c:pt idx="17">
                  <c:v>0.99999824666340209</c:v>
                </c:pt>
                <c:pt idx="18">
                  <c:v>0.99999958186035709</c:v>
                </c:pt>
                <c:pt idx="19">
                  <c:v>0.99999990511856729</c:v>
                </c:pt>
                <c:pt idx="20">
                  <c:v>0.9999999794679556</c:v>
                </c:pt>
                <c:pt idx="21">
                  <c:v>0.99999999575401211</c:v>
                </c:pt>
                <c:pt idx="22">
                  <c:v>0.99999999915927851</c:v>
                </c:pt>
                <c:pt idx="23">
                  <c:v>0.99999999984033172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0-4FFF-B6CB-AC522C087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17104"/>
        <c:axId val="738317584"/>
      </c:barChart>
      <c:catAx>
        <c:axId val="73831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7584"/>
        <c:crosses val="autoZero"/>
        <c:auto val="1"/>
        <c:lblAlgn val="ctr"/>
        <c:lblOffset val="100"/>
        <c:noMultiLvlLbl val="0"/>
      </c:catAx>
      <c:valAx>
        <c:axId val="7383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CUMMULATIVE DISTRIBUTIVE FUNCTION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720665518706534E-2"/>
              <c:y val="0.1552149763423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71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k'!$G$305:$G$306</c:f>
              <c:strCache>
                <c:ptCount val="2"/>
                <c:pt idx="0">
                  <c:v>POISSON AS LIMITING CASE OF B.D</c:v>
                </c:pt>
                <c:pt idx="1">
                  <c:v>P(X)B.D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k'!$D$307:$D$330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'poisson distribution k'!$G$307:$G$330</c:f>
              <c:numCache>
                <c:formatCode>General</c:formatCode>
                <c:ptCount val="24"/>
                <c:pt idx="0">
                  <c:v>5.9029581035870572E-3</c:v>
                </c:pt>
                <c:pt idx="1">
                  <c:v>3.3942009095625551E-2</c:v>
                </c:pt>
                <c:pt idx="2">
                  <c:v>9.3340525012970327E-2</c:v>
                </c:pt>
                <c:pt idx="3">
                  <c:v>0.16334591877269808</c:v>
                </c:pt>
                <c:pt idx="4">
                  <c:v>0.20418239846587263</c:v>
                </c:pt>
                <c:pt idx="5">
                  <c:v>0.19397327854257898</c:v>
                </c:pt>
                <c:pt idx="6">
                  <c:v>0.14547995890693419</c:v>
                </c:pt>
                <c:pt idx="7">
                  <c:v>8.8327117907781513E-2</c:v>
                </c:pt>
                <c:pt idx="8">
                  <c:v>4.4163558953890764E-2</c:v>
                </c:pt>
                <c:pt idx="9">
                  <c:v>1.8401482897454469E-2</c:v>
                </c:pt>
                <c:pt idx="10">
                  <c:v>6.4405190141090616E-3</c:v>
                </c:pt>
                <c:pt idx="11">
                  <c:v>1.9028806178049511E-3</c:v>
                </c:pt>
                <c:pt idx="12">
                  <c:v>4.7572015445123853E-4</c:v>
                </c:pt>
                <c:pt idx="13">
                  <c:v>1.0063310959545387E-4</c:v>
                </c:pt>
                <c:pt idx="14">
                  <c:v>1.7970198142045335E-5</c:v>
                </c:pt>
                <c:pt idx="15">
                  <c:v>2.6955297213068051E-6</c:v>
                </c:pt>
                <c:pt idx="16">
                  <c:v>3.3694121516335111E-7</c:v>
                </c:pt>
                <c:pt idx="17">
                  <c:v>3.468512509034505E-8</c:v>
                </c:pt>
                <c:pt idx="18">
                  <c:v>2.8904270908620702E-9</c:v>
                </c:pt>
                <c:pt idx="19">
                  <c:v>1.9015967703039939E-10</c:v>
                </c:pt>
                <c:pt idx="20">
                  <c:v>9.5079838515199693E-12</c:v>
                </c:pt>
                <c:pt idx="21">
                  <c:v>3.3957085183999892E-13</c:v>
                </c:pt>
                <c:pt idx="22">
                  <c:v>7.7175193600000214E-15</c:v>
                </c:pt>
                <c:pt idx="23">
                  <c:v>8.3886079999999972E-17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34D-A353-6200F98C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15184"/>
        <c:axId val="738312304"/>
      </c:barChart>
      <c:catAx>
        <c:axId val="73831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2304"/>
        <c:crosses val="autoZero"/>
        <c:auto val="1"/>
        <c:lblAlgn val="ctr"/>
        <c:lblOffset val="100"/>
        <c:noMultiLvlLbl val="0"/>
      </c:catAx>
      <c:valAx>
        <c:axId val="7383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POISSON AS LIMITING CASE OF B.D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10009841504579E-2"/>
              <c:y val="0.20220832251962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151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k'!$E$338:$E$339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k'!$D$340:$D$370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'poisson distribution k'!$E$340:$E$370</c:f>
              <c:numCache>
                <c:formatCode>General</c:formatCode>
                <c:ptCount val="31"/>
                <c:pt idx="0">
                  <c:v>4.0973497897978643E-4</c:v>
                </c:pt>
                <c:pt idx="1">
                  <c:v>3.1959328360423346E-3</c:v>
                </c:pt>
                <c:pt idx="2">
                  <c:v>1.2464138060565106E-2</c:v>
                </c:pt>
                <c:pt idx="3">
                  <c:v>3.2406758957469271E-2</c:v>
                </c:pt>
                <c:pt idx="4">
                  <c:v>6.3193179967065125E-2</c:v>
                </c:pt>
                <c:pt idx="5">
                  <c:v>9.8581360748621574E-2</c:v>
                </c:pt>
                <c:pt idx="6">
                  <c:v>0.12815576897320802</c:v>
                </c:pt>
                <c:pt idx="7">
                  <c:v>0.14280214257014615</c:v>
                </c:pt>
                <c:pt idx="8">
                  <c:v>0.13923208900589248</c:v>
                </c:pt>
                <c:pt idx="9">
                  <c:v>0.12066781047177347</c:v>
                </c:pt>
                <c:pt idx="10">
                  <c:v>9.4120892167983278E-2</c:v>
                </c:pt>
                <c:pt idx="11">
                  <c:v>6.6740268991842724E-2</c:v>
                </c:pt>
                <c:pt idx="12">
                  <c:v>4.3381174844697765E-2</c:v>
                </c:pt>
                <c:pt idx="13">
                  <c:v>2.6028704906818658E-2</c:v>
                </c:pt>
                <c:pt idx="14">
                  <c:v>1.4501707019513241E-2</c:v>
                </c:pt>
                <c:pt idx="15">
                  <c:v>7.5408876501469012E-3</c:v>
                </c:pt>
                <c:pt idx="16">
                  <c:v>3.6761827294466104E-3</c:v>
                </c:pt>
                <c:pt idx="17">
                  <c:v>1.6867191346872708E-3</c:v>
                </c:pt>
                <c:pt idx="18">
                  <c:v>7.3091162503115064E-4</c:v>
                </c:pt>
                <c:pt idx="19">
                  <c:v>3.0005845659173563E-4</c:v>
                </c:pt>
                <c:pt idx="20">
                  <c:v>1.170227980707769E-4</c:v>
                </c:pt>
                <c:pt idx="21">
                  <c:v>4.3465610712002783E-5</c:v>
                </c:pt>
                <c:pt idx="22">
                  <c:v>1.5410534706982833E-5</c:v>
                </c:pt>
                <c:pt idx="23">
                  <c:v>5.2261813354115477E-6</c:v>
                </c:pt>
                <c:pt idx="24">
                  <c:v>1.6985089340087561E-6</c:v>
                </c:pt>
                <c:pt idx="25">
                  <c:v>5.2993478741073409E-7</c:v>
                </c:pt>
                <c:pt idx="26">
                  <c:v>1.5898043622321992E-7</c:v>
                </c:pt>
                <c:pt idx="27">
                  <c:v>4.5927681575596905E-8</c:v>
                </c:pt>
                <c:pt idx="28">
                  <c:v>1.2794139867487716E-8</c:v>
                </c:pt>
                <c:pt idx="29">
                  <c:v>3.4411824471173739E-9</c:v>
                </c:pt>
                <c:pt idx="30">
                  <c:v>8.9470743625052054E-10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E-4248-8251-F16F67CB5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283024"/>
        <c:axId val="738289264"/>
      </c:barChart>
      <c:catAx>
        <c:axId val="73828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89264"/>
        <c:crosses val="autoZero"/>
        <c:auto val="1"/>
        <c:lblAlgn val="ctr"/>
        <c:lblOffset val="100"/>
        <c:noMultiLvlLbl val="0"/>
      </c:catAx>
      <c:valAx>
        <c:axId val="7382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PROBABILITY MASS FUNCTION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913045002456145E-2"/>
              <c:y val="0.19070109024833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830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k'!$F$338:$F$339</c:f>
              <c:strCache>
                <c:ptCount val="2"/>
                <c:pt idx="0">
                  <c:v>CUMMULATIVE DISTRIBUTIVE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k'!$D$340:$D$370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'poisson distribution k'!$F$340:$F$370</c:f>
              <c:numCache>
                <c:formatCode>General</c:formatCode>
                <c:ptCount val="31"/>
                <c:pt idx="0">
                  <c:v>4.0973497897978643E-4</c:v>
                </c:pt>
                <c:pt idx="1">
                  <c:v>3.6056678150221209E-3</c:v>
                </c:pt>
                <c:pt idx="2">
                  <c:v>1.6069805875587227E-2</c:v>
                </c:pt>
                <c:pt idx="3">
                  <c:v>4.8476564833056499E-2</c:v>
                </c:pt>
                <c:pt idx="4">
                  <c:v>0.11166974480012161</c:v>
                </c:pt>
                <c:pt idx="5">
                  <c:v>0.21025110554874313</c:v>
                </c:pt>
                <c:pt idx="6">
                  <c:v>0.33840687452195117</c:v>
                </c:pt>
                <c:pt idx="7">
                  <c:v>0.4812090170920974</c:v>
                </c:pt>
                <c:pt idx="8">
                  <c:v>0.62044110609798997</c:v>
                </c:pt>
                <c:pt idx="9">
                  <c:v>0.74110891656976352</c:v>
                </c:pt>
                <c:pt idx="10">
                  <c:v>0.83522980873774655</c:v>
                </c:pt>
                <c:pt idx="11">
                  <c:v>0.90197007772958937</c:v>
                </c:pt>
                <c:pt idx="12">
                  <c:v>0.94535125257428709</c:v>
                </c:pt>
                <c:pt idx="13">
                  <c:v>0.97137995748110573</c:v>
                </c:pt>
                <c:pt idx="14">
                  <c:v>0.98588166450061898</c:v>
                </c:pt>
                <c:pt idx="15">
                  <c:v>0.99342255215076591</c:v>
                </c:pt>
                <c:pt idx="16">
                  <c:v>0.9970987348802125</c:v>
                </c:pt>
                <c:pt idx="17">
                  <c:v>0.99878545401489971</c:v>
                </c:pt>
                <c:pt idx="18">
                  <c:v>0.99951636563993096</c:v>
                </c:pt>
                <c:pt idx="19">
                  <c:v>0.9998164240965226</c:v>
                </c:pt>
                <c:pt idx="20">
                  <c:v>0.99993344689459351</c:v>
                </c:pt>
                <c:pt idx="21">
                  <c:v>0.99997691250530552</c:v>
                </c:pt>
                <c:pt idx="22">
                  <c:v>0.99999232304001251</c:v>
                </c:pt>
                <c:pt idx="23">
                  <c:v>0.99999754922134787</c:v>
                </c:pt>
                <c:pt idx="24">
                  <c:v>0.99999924773028193</c:v>
                </c:pt>
                <c:pt idx="25">
                  <c:v>0.99999977766506931</c:v>
                </c:pt>
                <c:pt idx="26">
                  <c:v>0.99999993664550546</c:v>
                </c:pt>
                <c:pt idx="27">
                  <c:v>0.99999998257318712</c:v>
                </c:pt>
                <c:pt idx="28">
                  <c:v>0.99999999536732687</c:v>
                </c:pt>
                <c:pt idx="29">
                  <c:v>0.99999999880850932</c:v>
                </c:pt>
                <c:pt idx="30">
                  <c:v>0.99999999970321674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3-4469-B6AB-AEDA57F9D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270064"/>
        <c:axId val="738297904"/>
      </c:barChart>
      <c:catAx>
        <c:axId val="7382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830965232969625"/>
              <c:y val="0.88843731072077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97904"/>
        <c:crosses val="autoZero"/>
        <c:auto val="1"/>
        <c:lblAlgn val="ctr"/>
        <c:lblOffset val="100"/>
        <c:noMultiLvlLbl val="0"/>
      </c:catAx>
      <c:valAx>
        <c:axId val="7382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CUMMULATIVE DISTRIBUTIVE FUNCTION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563317701017491E-2"/>
              <c:y val="0.16913461538461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700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distribution k'!$G$338:$G$339</c:f>
              <c:strCache>
                <c:ptCount val="2"/>
                <c:pt idx="0">
                  <c:v>POISSON AS LIMITING CASE OF B.D</c:v>
                </c:pt>
                <c:pt idx="1">
                  <c:v>P(X)B.D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distribution k'!$D$340:$D$370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'poisson distribution k'!$G$340:$G$370</c:f>
              <c:numCache>
                <c:formatCode>General</c:formatCode>
                <c:ptCount val="31"/>
                <c:pt idx="0">
                  <c:v>1.1938550255468692E-4</c:v>
                </c:pt>
                <c:pt idx="1">
                  <c:v>1.2583877296304831E-3</c:v>
                </c:pt>
                <c:pt idx="2">
                  <c:v>6.4109753252796237E-3</c:v>
                </c:pt>
                <c:pt idx="3">
                  <c:v>2.1023378544160205E-2</c:v>
                </c:pt>
                <c:pt idx="4">
                  <c:v>4.9859499114866423E-2</c:v>
                </c:pt>
                <c:pt idx="5">
                  <c:v>9.1094652436891202E-2</c:v>
                </c:pt>
                <c:pt idx="6">
                  <c:v>0.1333592884774307</c:v>
                </c:pt>
                <c:pt idx="7">
                  <c:v>0.16064902704617143</c:v>
                </c:pt>
                <c:pt idx="8">
                  <c:v>0.1622772266446123</c:v>
                </c:pt>
                <c:pt idx="9">
                  <c:v>0.13937323369477217</c:v>
                </c:pt>
                <c:pt idx="10">
                  <c:v>0.10283484540181836</c:v>
                </c:pt>
                <c:pt idx="11">
                  <c:v>6.5693021632611259E-2</c:v>
                </c:pt>
                <c:pt idx="12">
                  <c:v>3.6545442214538232E-2</c:v>
                </c:pt>
                <c:pt idx="13">
                  <c:v>1.7778863780045614E-2</c:v>
                </c:pt>
                <c:pt idx="14">
                  <c:v>7.5851909177414743E-3</c:v>
                </c:pt>
                <c:pt idx="15">
                  <c:v>2.8427382178202311E-3</c:v>
                </c:pt>
                <c:pt idx="16">
                  <c:v>9.3637491972119191E-4</c:v>
                </c:pt>
                <c:pt idx="17">
                  <c:v>2.7093837104810302E-4</c:v>
                </c:pt>
                <c:pt idx="18">
                  <c:v>6.8751628689383491E-5</c:v>
                </c:pt>
                <c:pt idx="19">
                  <c:v>1.5256406935339756E-5</c:v>
                </c:pt>
                <c:pt idx="20">
                  <c:v>2.9481975564237621E-6</c:v>
                </c:pt>
                <c:pt idx="21">
                  <c:v>4.9326342642868528E-7</c:v>
                </c:pt>
                <c:pt idx="22">
                  <c:v>7.0899042865056788E-8</c:v>
                </c:pt>
                <c:pt idx="23">
                  <c:v>8.6645128765756699E-9</c:v>
                </c:pt>
                <c:pt idx="24">
                  <c:v>8.8791742316259433E-10</c:v>
                </c:pt>
                <c:pt idx="25">
                  <c:v>7.4873036763981652E-11</c:v>
                </c:pt>
                <c:pt idx="26">
                  <c:v>5.0589889705392721E-12</c:v>
                </c:pt>
                <c:pt idx="27">
                  <c:v>2.6333075722526789E-13</c:v>
                </c:pt>
                <c:pt idx="28">
                  <c:v>9.9130304360863293E-15</c:v>
                </c:pt>
                <c:pt idx="29">
                  <c:v>2.4020390618662112E-16</c:v>
                </c:pt>
                <c:pt idx="30">
                  <c:v>2.8131989012847592E-18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A-4C6A-BAAF-3DBC11F9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278704"/>
        <c:axId val="738283504"/>
      </c:barChart>
      <c:catAx>
        <c:axId val="73827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83504"/>
        <c:crosses val="autoZero"/>
        <c:auto val="1"/>
        <c:lblAlgn val="ctr"/>
        <c:lblOffset val="100"/>
        <c:noMultiLvlLbl val="0"/>
      </c:catAx>
      <c:valAx>
        <c:axId val="7382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POISSON AS LIMITING CASE OF B.D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801186401887023E-2"/>
              <c:y val="0.19001133069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787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425242</xdr:colOff>
      <xdr:row>6</xdr:row>
      <xdr:rowOff>139223</xdr:rowOff>
    </xdr:from>
    <xdr:to>
      <xdr:col>11</xdr:col>
      <xdr:colOff>0</xdr:colOff>
      <xdr:row>21</xdr:row>
      <xdr:rowOff>179456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A8014-98A9-47FF-A225-A9E09AC5C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549360</xdr:colOff>
      <xdr:row>7</xdr:row>
      <xdr:rowOff>3582</xdr:rowOff>
    </xdr:from>
    <xdr:to>
      <xdr:col>19</xdr:col>
      <xdr:colOff>205231</xdr:colOff>
      <xdr:row>21</xdr:row>
      <xdr:rowOff>165814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6C90C-220D-428F-872A-7C90A5BEE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410051</xdr:colOff>
      <xdr:row>31</xdr:row>
      <xdr:rowOff>186899</xdr:rowOff>
    </xdr:from>
    <xdr:to>
      <xdr:col>11</xdr:col>
      <xdr:colOff>19266</xdr:colOff>
      <xdr:row>45</xdr:row>
      <xdr:rowOff>154012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2DE00F-C612-494C-9861-8F16359EB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19474</xdr:colOff>
      <xdr:row>31</xdr:row>
      <xdr:rowOff>191525</xdr:rowOff>
    </xdr:from>
    <xdr:to>
      <xdr:col>19</xdr:col>
      <xdr:colOff>319574</xdr:colOff>
      <xdr:row>45</xdr:row>
      <xdr:rowOff>167084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4FDA09-F4DE-49FD-B7CD-EF4D198A3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331995</xdr:colOff>
      <xdr:row>64</xdr:row>
      <xdr:rowOff>0</xdr:rowOff>
    </xdr:from>
    <xdr:to>
      <xdr:col>11</xdr:col>
      <xdr:colOff>51486</xdr:colOff>
      <xdr:row>79</xdr:row>
      <xdr:rowOff>24063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CCDC8-3BF4-45F3-BC3D-C7E3463B2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64</xdr:row>
      <xdr:rowOff>0</xdr:rowOff>
    </xdr:from>
    <xdr:to>
      <xdr:col>19</xdr:col>
      <xdr:colOff>452033</xdr:colOff>
      <xdr:row>79</xdr:row>
      <xdr:rowOff>19963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BC13D4-E8A2-4682-8003-E8136DF5E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398395</xdr:colOff>
      <xdr:row>106</xdr:row>
      <xdr:rowOff>169842</xdr:rowOff>
    </xdr:from>
    <xdr:to>
      <xdr:col>10</xdr:col>
      <xdr:colOff>4330707</xdr:colOff>
      <xdr:row>121</xdr:row>
      <xdr:rowOff>6391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258C86-6AC5-4757-A052-6B81546D0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106</xdr:row>
      <xdr:rowOff>188553</xdr:rowOff>
    </xdr:from>
    <xdr:to>
      <xdr:col>19</xdr:col>
      <xdr:colOff>197254</xdr:colOff>
      <xdr:row>121</xdr:row>
      <xdr:rowOff>13804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3499F0-FA68-44F2-8B6C-8B468E4DC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347533</xdr:colOff>
      <xdr:row>154</xdr:row>
      <xdr:rowOff>12872</xdr:rowOff>
    </xdr:from>
    <xdr:to>
      <xdr:col>14</xdr:col>
      <xdr:colOff>566351</xdr:colOff>
      <xdr:row>168</xdr:row>
      <xdr:rowOff>17832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FA2C1C-899C-441B-91ED-872515E3E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254000</xdr:colOff>
      <xdr:row>154</xdr:row>
      <xdr:rowOff>26911</xdr:rowOff>
    </xdr:from>
    <xdr:to>
      <xdr:col>23</xdr:col>
      <xdr:colOff>592666</xdr:colOff>
      <xdr:row>168</xdr:row>
      <xdr:rowOff>18444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556B3A-A6DB-4A2F-8702-FB9466FA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405190</xdr:colOff>
      <xdr:row>170</xdr:row>
      <xdr:rowOff>42030</xdr:rowOff>
    </xdr:from>
    <xdr:to>
      <xdr:col>19</xdr:col>
      <xdr:colOff>139095</xdr:colOff>
      <xdr:row>184</xdr:row>
      <xdr:rowOff>33563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33B598-8281-40E7-931F-43C5803FA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2719915</xdr:colOff>
      <xdr:row>198</xdr:row>
      <xdr:rowOff>173566</xdr:rowOff>
    </xdr:from>
    <xdr:to>
      <xdr:col>16</xdr:col>
      <xdr:colOff>582082</xdr:colOff>
      <xdr:row>213</xdr:row>
      <xdr:rowOff>59266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5E5458-19F5-492B-B78E-C261A9684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52916</xdr:colOff>
      <xdr:row>198</xdr:row>
      <xdr:rowOff>173566</xdr:rowOff>
    </xdr:from>
    <xdr:to>
      <xdr:col>26</xdr:col>
      <xdr:colOff>328082</xdr:colOff>
      <xdr:row>213</xdr:row>
      <xdr:rowOff>59266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92B8CB-6B9E-4E8A-84B2-A51F8791C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349249</xdr:colOff>
      <xdr:row>215</xdr:row>
      <xdr:rowOff>131233</xdr:rowOff>
    </xdr:from>
    <xdr:to>
      <xdr:col>22</xdr:col>
      <xdr:colOff>10583</xdr:colOff>
      <xdr:row>230</xdr:row>
      <xdr:rowOff>16933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1E6CA2-C511-4A88-B5DC-9D8149062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864603</xdr:colOff>
      <xdr:row>305</xdr:row>
      <xdr:rowOff>1438</xdr:rowOff>
    </xdr:from>
    <xdr:to>
      <xdr:col>13</xdr:col>
      <xdr:colOff>566272</xdr:colOff>
      <xdr:row>318</xdr:row>
      <xdr:rowOff>167497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16CBDB1-CCA9-45EC-8B14-BA707E301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108857</xdr:colOff>
      <xdr:row>304</xdr:row>
      <xdr:rowOff>179615</xdr:rowOff>
    </xdr:from>
    <xdr:to>
      <xdr:col>22</xdr:col>
      <xdr:colOff>278944</xdr:colOff>
      <xdr:row>318</xdr:row>
      <xdr:rowOff>68036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259DB5-BBAD-4EFF-889A-FE721DFCF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123030</xdr:colOff>
      <xdr:row>319</xdr:row>
      <xdr:rowOff>92869</xdr:rowOff>
    </xdr:from>
    <xdr:to>
      <xdr:col>18</xdr:col>
      <xdr:colOff>413316</xdr:colOff>
      <xdr:row>333</xdr:row>
      <xdr:rowOff>177007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74F29F0-2D91-494A-8F7E-17A9D70DF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898920</xdr:colOff>
      <xdr:row>342</xdr:row>
      <xdr:rowOff>196056</xdr:rowOff>
    </xdr:from>
    <xdr:to>
      <xdr:col>13</xdr:col>
      <xdr:colOff>589357</xdr:colOff>
      <xdr:row>356</xdr:row>
      <xdr:rowOff>161131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81B2646-98DE-40FD-8291-55F3F226F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25797</xdr:colOff>
      <xdr:row>342</xdr:row>
      <xdr:rowOff>196057</xdr:rowOff>
    </xdr:from>
    <xdr:to>
      <xdr:col>22</xdr:col>
      <xdr:colOff>291703</xdr:colOff>
      <xdr:row>356</xdr:row>
      <xdr:rowOff>161132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FFF92D0-5218-445E-87A6-9C613AF7A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3121421</xdr:colOff>
      <xdr:row>358</xdr:row>
      <xdr:rowOff>176213</xdr:rowOff>
    </xdr:from>
    <xdr:to>
      <xdr:col>17</xdr:col>
      <xdr:colOff>351233</xdr:colOff>
      <xdr:row>372</xdr:row>
      <xdr:rowOff>141288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43C654A-506D-483E-922B-C20CCDC38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AD9D-6EBC-47F6-B797-989F27A13DB7}">
  <dimension ref="A2:K370"/>
  <sheetViews>
    <sheetView tabSelected="1" topLeftCell="B122" zoomScale="50" zoomScaleNormal="56" workbookViewId="0">
      <selection activeCell="J143" sqref="J143"/>
    </sheetView>
  </sheetViews>
  <sheetFormatPr defaultRowHeight="15" x14ac:dyDescent="0.25"/>
  <cols>
    <col min="1" max="1" width="61.42578125" customWidth="1"/>
    <col min="4" max="4" width="19.85546875" customWidth="1"/>
    <col min="5" max="5" width="113.28515625" customWidth="1"/>
    <col min="6" max="6" width="56.140625" customWidth="1"/>
    <col min="7" max="7" width="44.7109375" customWidth="1"/>
    <col min="11" max="11" width="65.140625" customWidth="1"/>
  </cols>
  <sheetData>
    <row r="2" spans="1:11" ht="36" x14ac:dyDescent="0.55000000000000004">
      <c r="K2" s="1" t="s">
        <v>0</v>
      </c>
    </row>
    <row r="7" spans="1:11" x14ac:dyDescent="0.25">
      <c r="A7" s="2" t="s">
        <v>1</v>
      </c>
    </row>
    <row r="8" spans="1:11" x14ac:dyDescent="0.25">
      <c r="D8" s="3" t="s">
        <v>2</v>
      </c>
      <c r="E8" s="3" t="s">
        <v>3</v>
      </c>
      <c r="F8" s="3" t="s">
        <v>4</v>
      </c>
    </row>
    <row r="9" spans="1:11" x14ac:dyDescent="0.25">
      <c r="A9" s="2" t="s">
        <v>5</v>
      </c>
      <c r="D9" s="3" t="s">
        <v>6</v>
      </c>
      <c r="E9" s="3" t="s">
        <v>7</v>
      </c>
      <c r="F9" s="3" t="s">
        <v>8</v>
      </c>
    </row>
    <row r="10" spans="1:11" x14ac:dyDescent="0.25">
      <c r="D10" s="3">
        <v>0</v>
      </c>
      <c r="E10" s="4">
        <f t="array" ref="E10">_xlfn.POISSON.DIST(D10,$B$17,FALSE)</f>
        <v>1.1108996538242306E-2</v>
      </c>
      <c r="F10" s="4">
        <f t="array" ref="F10">_xlfn.POISSON.DIST(D10,$B$17,TRUE)</f>
        <v>1.1108996538242306E-2</v>
      </c>
    </row>
    <row r="11" spans="1:11" x14ac:dyDescent="0.25">
      <c r="A11" s="2" t="s">
        <v>9</v>
      </c>
      <c r="B11" s="2">
        <v>15</v>
      </c>
      <c r="D11" s="3">
        <v>1</v>
      </c>
      <c r="E11" s="4">
        <f t="array" ref="E11">_xlfn.POISSON.DIST(D11,$B$17,FALSE)</f>
        <v>4.9990484422090385E-2</v>
      </c>
      <c r="F11" s="4">
        <f t="array" ref="F11">_xlfn.POISSON.DIST(D11,$B$17,TRUE)</f>
        <v>6.1099480960332686E-2</v>
      </c>
    </row>
    <row r="12" spans="1:11" x14ac:dyDescent="0.25">
      <c r="A12" s="2" t="s">
        <v>10</v>
      </c>
      <c r="B12" s="2">
        <v>0.3</v>
      </c>
      <c r="D12" s="3">
        <v>2</v>
      </c>
      <c r="E12" s="4">
        <f t="array" ref="E12">_xlfn.POISSON.DIST(D12,$B$17,FALSE)</f>
        <v>0.11247858994970336</v>
      </c>
      <c r="F12" s="4">
        <f t="array" ref="F12">_xlfn.POISSON.DIST(D12,$B$17,TRUE)</f>
        <v>0.17357807091003602</v>
      </c>
    </row>
    <row r="13" spans="1:11" x14ac:dyDescent="0.25">
      <c r="A13" s="2" t="s">
        <v>11</v>
      </c>
      <c r="B13" s="2">
        <f>1-B12</f>
        <v>0.7</v>
      </c>
      <c r="D13" s="3">
        <v>3</v>
      </c>
      <c r="E13" s="4">
        <f t="array" ref="E13">_xlfn.POISSON.DIST(D13,$B$17,FALSE)</f>
        <v>0.16871788492455503</v>
      </c>
      <c r="F13" s="4">
        <f t="array" ref="F13">_xlfn.POISSON.DIST(D13,$B$17,TRUE)</f>
        <v>0.34229595583459105</v>
      </c>
    </row>
    <row r="14" spans="1:11" x14ac:dyDescent="0.25">
      <c r="D14" s="3">
        <v>4</v>
      </c>
      <c r="E14" s="4">
        <f t="array" ref="E14">_xlfn.POISSON.DIST(D14,$B$17,FALSE)</f>
        <v>0.18980762054012446</v>
      </c>
      <c r="F14" s="4">
        <f t="array" ref="F14">_xlfn.POISSON.DIST(D14,$B$17,TRUE)</f>
        <v>0.53210357637471528</v>
      </c>
    </row>
    <row r="15" spans="1:11" x14ac:dyDescent="0.25">
      <c r="A15" s="2" t="s">
        <v>12</v>
      </c>
      <c r="D15" s="3">
        <v>5</v>
      </c>
      <c r="E15" s="4">
        <f t="array" ref="E15">_xlfn.POISSON.DIST(D15,$B$17,FALSE)</f>
        <v>0.17082685848611198</v>
      </c>
      <c r="F15" s="4">
        <f t="array" ref="F15">_xlfn.POISSON.DIST(D15,$B$17,TRUE)</f>
        <v>0.70293043486082729</v>
      </c>
    </row>
    <row r="16" spans="1:11" x14ac:dyDescent="0.25">
      <c r="D16" s="3">
        <v>6</v>
      </c>
      <c r="E16" s="4">
        <f t="array" ref="E16">_xlfn.POISSON.DIST(D16,$B$17,FALSE)</f>
        <v>0.12812014386458401</v>
      </c>
      <c r="F16" s="4">
        <f t="array" ref="F16">_xlfn.POISSON.DIST(D16,$B$17,TRUE)</f>
        <v>0.83105057872541144</v>
      </c>
    </row>
    <row r="17" spans="1:6" x14ac:dyDescent="0.25">
      <c r="A17" s="2" t="s">
        <v>13</v>
      </c>
      <c r="B17" s="2">
        <f>AVERAGE(B11*B12)</f>
        <v>4.5</v>
      </c>
      <c r="D17" s="3">
        <v>7</v>
      </c>
      <c r="E17" s="4">
        <f t="array" ref="E17">_xlfn.POISSON.DIST(D17,$B$17,FALSE)</f>
        <v>8.2362949627232576E-2</v>
      </c>
      <c r="F17" s="4">
        <f t="array" ref="F17">_xlfn.POISSON.DIST(D17,$B$17,TRUE)</f>
        <v>0.91341352835264389</v>
      </c>
    </row>
    <row r="18" spans="1:6" x14ac:dyDescent="0.25">
      <c r="A18" s="2" t="s">
        <v>14</v>
      </c>
      <c r="B18" s="2">
        <f t="array" ref="B18">B11*B12*(1-B12)</f>
        <v>3.15</v>
      </c>
      <c r="D18" s="3">
        <v>8</v>
      </c>
      <c r="E18" s="4">
        <f t="array" ref="E18">_xlfn.POISSON.DIST(D18,$B$17,FALSE)</f>
        <v>4.6329159165318337E-2</v>
      </c>
      <c r="F18" s="4">
        <f t="array" ref="F18">_xlfn.POISSON.DIST(D18,$B$17,TRUE)</f>
        <v>0.95974268751796221</v>
      </c>
    </row>
    <row r="19" spans="1:6" x14ac:dyDescent="0.25">
      <c r="A19" s="2" t="s">
        <v>15</v>
      </c>
      <c r="B19" s="2">
        <f>SQRT(B18)</f>
        <v>1.7748239349298849</v>
      </c>
      <c r="D19" s="3">
        <v>9</v>
      </c>
      <c r="E19" s="4">
        <f t="array" ref="E19">_xlfn.POISSON.DIST(D19,$B$17,FALSE)</f>
        <v>2.3164579582659158E-2</v>
      </c>
      <c r="F19" s="4">
        <f t="array" ref="F19">_xlfn.POISSON.DIST(D19,$B$17,TRUE)</f>
        <v>0.98290726710062137</v>
      </c>
    </row>
    <row r="20" spans="1:6" x14ac:dyDescent="0.25">
      <c r="D20" s="3">
        <v>10</v>
      </c>
      <c r="E20" s="4">
        <f t="array" ref="E20">_xlfn.POISSON.DIST(D20,$B$17,FALSE)</f>
        <v>1.0424060812196614E-2</v>
      </c>
      <c r="F20" s="4">
        <f t="array" ref="F20">_xlfn.POISSON.DIST(D20,$B$17,TRUE)</f>
        <v>0.99333132791281809</v>
      </c>
    </row>
    <row r="21" spans="1:6" x14ac:dyDescent="0.25">
      <c r="D21" s="3">
        <v>11</v>
      </c>
      <c r="E21" s="4">
        <f t="array" ref="E21">_xlfn.POISSON.DIST(D21,$B$17,FALSE)</f>
        <v>4.2643885140804328E-3</v>
      </c>
      <c r="F21" s="4">
        <f t="array" ref="F21">_xlfn.POISSON.DIST(D21,$B$17,TRUE)</f>
        <v>0.99759571642689848</v>
      </c>
    </row>
    <row r="22" spans="1:6" x14ac:dyDescent="0.25">
      <c r="D22" s="3">
        <v>12</v>
      </c>
      <c r="E22" s="4">
        <f t="array" ref="E22">_xlfn.POISSON.DIST(D22,$B$17,FALSE)</f>
        <v>1.599145692780165E-3</v>
      </c>
      <c r="F22" s="4">
        <f t="array" ref="F22">_xlfn.POISSON.DIST(D22,$B$17,TRUE)</f>
        <v>0.99919486211967867</v>
      </c>
    </row>
    <row r="23" spans="1:6" x14ac:dyDescent="0.25">
      <c r="D23" s="3">
        <v>13</v>
      </c>
      <c r="E23" s="4">
        <f t="array" ref="E23">_xlfn.POISSON.DIST(D23,$B$17,FALSE)</f>
        <v>5.535504321162115E-4</v>
      </c>
      <c r="F23" s="4">
        <f t="array" ref="F23">_xlfn.POISSON.DIST(D23,$B$17,TRUE)</f>
        <v>0.99974841255179481</v>
      </c>
    </row>
    <row r="24" spans="1:6" x14ac:dyDescent="0.25">
      <c r="D24" s="3">
        <v>14</v>
      </c>
      <c r="E24" s="4">
        <f t="array" ref="E24">_xlfn.POISSON.DIST(D24,$B$17,FALSE)</f>
        <v>1.7792692460878205E-4</v>
      </c>
      <c r="F24" s="4">
        <f t="array" ref="F24">_xlfn.POISSON.DIST(D24,$B$17,TRUE)</f>
        <v>0.99992633947640364</v>
      </c>
    </row>
    <row r="25" spans="1:6" x14ac:dyDescent="0.25">
      <c r="D25" s="3">
        <v>15</v>
      </c>
      <c r="E25" s="4">
        <f t="array" ref="E25">_xlfn.POISSON.DIST(D25,$B$17,FALSE)</f>
        <v>5.3378077382634449E-5</v>
      </c>
      <c r="F25" s="4">
        <f t="array" ref="F25">_xlfn.POISSON.DIST(D25,$B$17,TRUE)</f>
        <v>0.99997971755378634</v>
      </c>
    </row>
    <row r="30" spans="1:6" x14ac:dyDescent="0.25">
      <c r="A30" s="2" t="s">
        <v>16</v>
      </c>
    </row>
    <row r="31" spans="1:6" x14ac:dyDescent="0.25">
      <c r="A31" s="2"/>
      <c r="D31" s="3" t="s">
        <v>2</v>
      </c>
      <c r="E31" s="3" t="s">
        <v>3</v>
      </c>
      <c r="F31" s="3" t="s">
        <v>4</v>
      </c>
    </row>
    <row r="32" spans="1:6" x14ac:dyDescent="0.25">
      <c r="A32" s="2" t="s">
        <v>5</v>
      </c>
      <c r="D32" s="3" t="s">
        <v>6</v>
      </c>
      <c r="E32" s="3" t="s">
        <v>7</v>
      </c>
      <c r="F32" s="3" t="s">
        <v>8</v>
      </c>
    </row>
    <row r="33" spans="1:6" x14ac:dyDescent="0.25">
      <c r="A33" s="2"/>
      <c r="D33" s="3">
        <v>0</v>
      </c>
      <c r="E33" s="4">
        <f t="array" ref="E33">_xlfn.POISSON.DIST(D33,$B$40,FALSE)</f>
        <v>4.5399929762484854E-5</v>
      </c>
      <c r="F33" s="4">
        <f t="array" ref="F33">_xlfn.POISSON.DIST(D33,$B$40,TRUE)</f>
        <v>4.5399929762484854E-5</v>
      </c>
    </row>
    <row r="34" spans="1:6" x14ac:dyDescent="0.25">
      <c r="A34" s="2" t="s">
        <v>9</v>
      </c>
      <c r="B34" s="2">
        <v>25</v>
      </c>
      <c r="D34" s="3">
        <v>1</v>
      </c>
      <c r="E34" s="4">
        <f t="array" ref="E34">_xlfn.POISSON.DIST(D34,$B$40,FALSE)</f>
        <v>4.5399929762484861E-4</v>
      </c>
      <c r="F34" s="4">
        <f t="array" ref="F34">_xlfn.POISSON.DIST(D34,$B$40,TRUE)</f>
        <v>4.9939922738733344E-4</v>
      </c>
    </row>
    <row r="35" spans="1:6" x14ac:dyDescent="0.25">
      <c r="A35" s="2" t="s">
        <v>10</v>
      </c>
      <c r="B35" s="2">
        <v>0.4</v>
      </c>
      <c r="D35" s="3">
        <v>2</v>
      </c>
      <c r="E35" s="4">
        <f t="array" ref="E35">_xlfn.POISSON.DIST(D35,$B$40,FALSE)</f>
        <v>2.2699964881242444E-3</v>
      </c>
      <c r="F35" s="4">
        <f t="array" ref="F35">_xlfn.POISSON.DIST(D35,$B$40,TRUE)</f>
        <v>2.7693957155115762E-3</v>
      </c>
    </row>
    <row r="36" spans="1:6" x14ac:dyDescent="0.25">
      <c r="A36" s="2" t="s">
        <v>11</v>
      </c>
      <c r="B36" s="2">
        <f t="array" ref="B36">1-B35</f>
        <v>0.6</v>
      </c>
      <c r="D36" s="3">
        <v>3</v>
      </c>
      <c r="E36" s="4">
        <f t="array" ref="E36">_xlfn.POISSON.DIST(D36,$B$40,FALSE)</f>
        <v>7.5666549604141483E-3</v>
      </c>
      <c r="F36" s="4">
        <f t="array" ref="F36">_xlfn.POISSON.DIST(D36,$B$40,TRUE)</f>
        <v>1.0336050675925718E-2</v>
      </c>
    </row>
    <row r="37" spans="1:6" x14ac:dyDescent="0.25">
      <c r="A37" s="2"/>
      <c r="D37" s="3">
        <v>4</v>
      </c>
      <c r="E37" s="4">
        <f t="array" ref="E37">_xlfn.POISSON.DIST(D37,$B$40,FALSE)</f>
        <v>1.8916637401035354E-2</v>
      </c>
      <c r="F37" s="4">
        <f t="array" ref="F37">_xlfn.POISSON.DIST(D37,$B$40,TRUE)</f>
        <v>2.9252688076961065E-2</v>
      </c>
    </row>
    <row r="38" spans="1:6" x14ac:dyDescent="0.25">
      <c r="A38" s="2" t="s">
        <v>12</v>
      </c>
      <c r="D38" s="3">
        <v>5</v>
      </c>
      <c r="E38" s="4">
        <f t="array" ref="E38">_xlfn.POISSON.DIST(D38,$B$40,FALSE)</f>
        <v>3.7833274802070715E-2</v>
      </c>
      <c r="F38" s="4">
        <f t="array" ref="F38">_xlfn.POISSON.DIST(D38,$B$40,TRUE)</f>
        <v>6.7085962879031805E-2</v>
      </c>
    </row>
    <row r="39" spans="1:6" x14ac:dyDescent="0.25">
      <c r="A39" s="2"/>
      <c r="D39" s="3">
        <v>6</v>
      </c>
      <c r="E39" s="4">
        <f t="array" ref="E39">_xlfn.POISSON.DIST(D39,$B$40,FALSE)</f>
        <v>6.3055458003451192E-2</v>
      </c>
      <c r="F39" s="4">
        <f t="array" ref="F39">_xlfn.POISSON.DIST(D39,$B$40,TRUE)</f>
        <v>0.13014142088248298</v>
      </c>
    </row>
    <row r="40" spans="1:6" x14ac:dyDescent="0.25">
      <c r="A40" s="2" t="s">
        <v>13</v>
      </c>
      <c r="B40" s="2">
        <f t="array" ref="B40">AVERAGE(B34*B35)</f>
        <v>10</v>
      </c>
      <c r="D40" s="3">
        <v>7</v>
      </c>
      <c r="E40" s="4">
        <f t="array" ref="E40">_xlfn.POISSON.DIST(D40,$B$40,FALSE)</f>
        <v>9.0079225719215977E-2</v>
      </c>
      <c r="F40" s="4">
        <f t="array" ref="F40">_xlfn.POISSON.DIST(D40,$B$40,TRUE)</f>
        <v>0.22022064660169899</v>
      </c>
    </row>
    <row r="41" spans="1:6" x14ac:dyDescent="0.25">
      <c r="A41" s="2" t="s">
        <v>14</v>
      </c>
      <c r="B41" s="2">
        <f t="array" ref="B41">B34*B35*(1-B35)</f>
        <v>6</v>
      </c>
      <c r="D41" s="3">
        <v>8</v>
      </c>
      <c r="E41" s="4">
        <f t="array" ref="E41">_xlfn.POISSON.DIST(D41,$B$40,FALSE)</f>
        <v>0.11259903214901996</v>
      </c>
      <c r="F41" s="4">
        <f t="array" ref="F41">_xlfn.POISSON.DIST(D41,$B$40,TRUE)</f>
        <v>0.33281967875071894</v>
      </c>
    </row>
    <row r="42" spans="1:6" x14ac:dyDescent="0.25">
      <c r="A42" s="2" t="s">
        <v>15</v>
      </c>
      <c r="B42" s="2">
        <f t="array" ref="B42">SQRT(B41)</f>
        <v>2.4494897427831779</v>
      </c>
      <c r="D42" s="3">
        <v>9</v>
      </c>
      <c r="E42" s="4">
        <f t="array" ref="E42">_xlfn.POISSON.DIST(D42,$B$40,FALSE)</f>
        <v>0.1251100357211333</v>
      </c>
      <c r="F42" s="4">
        <f t="array" ref="F42">_xlfn.POISSON.DIST(D42,$B$40,TRUE)</f>
        <v>0.45792971447185227</v>
      </c>
    </row>
    <row r="43" spans="1:6" x14ac:dyDescent="0.25">
      <c r="D43" s="3">
        <v>10</v>
      </c>
      <c r="E43" s="4">
        <f t="array" ref="E43">_xlfn.POISSON.DIST(D43,$B$40,FALSE)</f>
        <v>0.1251100357211333</v>
      </c>
      <c r="F43" s="4">
        <f t="array" ref="F43">_xlfn.POISSON.DIST(D43,$B$40,TRUE)</f>
        <v>0.58303975019298537</v>
      </c>
    </row>
    <row r="44" spans="1:6" x14ac:dyDescent="0.25">
      <c r="D44" s="3">
        <v>11</v>
      </c>
      <c r="E44" s="4">
        <f t="array" ref="E44">_xlfn.POISSON.DIST(D44,$B$40,FALSE)</f>
        <v>0.11373639611012118</v>
      </c>
      <c r="F44" s="4">
        <f t="array" ref="F44">_xlfn.POISSON.DIST(D44,$B$40,TRUE)</f>
        <v>0.69677614630310658</v>
      </c>
    </row>
    <row r="45" spans="1:6" x14ac:dyDescent="0.25">
      <c r="D45" s="3">
        <v>12</v>
      </c>
      <c r="E45" s="4">
        <f t="array" ref="E45">_xlfn.POISSON.DIST(D45,$B$40,FALSE)</f>
        <v>9.4780330091767673E-2</v>
      </c>
      <c r="F45" s="4">
        <f t="array" ref="F45">_xlfn.POISSON.DIST(D45,$B$40,TRUE)</f>
        <v>0.79155647639487436</v>
      </c>
    </row>
    <row r="46" spans="1:6" x14ac:dyDescent="0.25">
      <c r="D46" s="3">
        <v>13</v>
      </c>
      <c r="E46" s="4">
        <f t="array" ref="E46">_xlfn.POISSON.DIST(D46,$B$40,FALSE)</f>
        <v>7.2907946224436637E-2</v>
      </c>
      <c r="F46" s="4">
        <f t="array" ref="F46">_xlfn.POISSON.DIST(D46,$B$40,TRUE)</f>
        <v>0.864464422619311</v>
      </c>
    </row>
    <row r="47" spans="1:6" x14ac:dyDescent="0.25">
      <c r="D47" s="3">
        <v>14</v>
      </c>
      <c r="E47" s="4">
        <f t="array" ref="E47">_xlfn.POISSON.DIST(D47,$B$40,FALSE)</f>
        <v>5.2077104446026187E-2</v>
      </c>
      <c r="F47" s="4">
        <f t="array" ref="F47">_xlfn.POISSON.DIST(D47,$B$40,TRUE)</f>
        <v>0.9165415270653372</v>
      </c>
    </row>
    <row r="48" spans="1:6" x14ac:dyDescent="0.25">
      <c r="D48" s="3">
        <v>15</v>
      </c>
      <c r="E48" s="4">
        <f t="array" ref="E48">_xlfn.POISSON.DIST(D48,$B$40,FALSE)</f>
        <v>3.4718069630684127E-2</v>
      </c>
      <c r="F48" s="4">
        <f t="array" ref="F48">_xlfn.POISSON.DIST(D48,$B$40,TRUE)</f>
        <v>0.95125959669602134</v>
      </c>
    </row>
    <row r="49" spans="1:6" x14ac:dyDescent="0.25">
      <c r="D49" s="3">
        <v>16</v>
      </c>
      <c r="E49" s="4">
        <f t="array" ref="E49">_xlfn.POISSON.DIST(D49,$B$40,FALSE)</f>
        <v>2.1698793519177549E-2</v>
      </c>
      <c r="F49" s="4">
        <f t="array" ref="F49">_xlfn.POISSON.DIST(D49,$B$40,TRUE)</f>
        <v>0.97295839021519881</v>
      </c>
    </row>
    <row r="50" spans="1:6" x14ac:dyDescent="0.25">
      <c r="D50" s="3">
        <v>17</v>
      </c>
      <c r="E50" s="4">
        <f t="array" ref="E50">_xlfn.POISSON.DIST(D50,$B$40,FALSE)</f>
        <v>1.2763996187751522E-2</v>
      </c>
      <c r="F50" s="4">
        <f t="array" ref="F50">_xlfn.POISSON.DIST(D50,$B$40,TRUE)</f>
        <v>0.9857223864029504</v>
      </c>
    </row>
    <row r="51" spans="1:6" x14ac:dyDescent="0.25">
      <c r="D51" s="3">
        <v>18</v>
      </c>
      <c r="E51" s="4">
        <f t="array" ref="E51">_xlfn.POISSON.DIST(D51,$B$40,FALSE)</f>
        <v>7.0911089931952852E-3</v>
      </c>
      <c r="F51" s="4">
        <f t="array" ref="F51">_xlfn.POISSON.DIST(D51,$B$40,TRUE)</f>
        <v>0.99281349539614561</v>
      </c>
    </row>
    <row r="52" spans="1:6" x14ac:dyDescent="0.25">
      <c r="D52" s="3">
        <v>19</v>
      </c>
      <c r="E52" s="4">
        <f t="array" ref="E52">_xlfn.POISSON.DIST(D52,$B$40,FALSE)</f>
        <v>3.7321626279975249E-3</v>
      </c>
      <c r="F52" s="4">
        <f t="array" ref="F52">_xlfn.POISSON.DIST(D52,$B$40,TRUE)</f>
        <v>0.99654565802414319</v>
      </c>
    </row>
    <row r="53" spans="1:6" x14ac:dyDescent="0.25">
      <c r="D53" s="3">
        <v>20</v>
      </c>
      <c r="E53" s="4">
        <f t="array" ref="E53">_xlfn.POISSON.DIST(D53,$B$40,FALSE)</f>
        <v>1.8660813139987594E-3</v>
      </c>
      <c r="F53" s="4">
        <f t="array" ref="F53">_xlfn.POISSON.DIST(D53,$B$40,TRUE)</f>
        <v>0.99841173933814198</v>
      </c>
    </row>
    <row r="54" spans="1:6" x14ac:dyDescent="0.25">
      <c r="D54" s="3">
        <v>21</v>
      </c>
      <c r="E54" s="4">
        <f t="array" ref="E54">_xlfn.POISSON.DIST(D54,$B$40,FALSE)</f>
        <v>8.8861014952321864E-4</v>
      </c>
      <c r="F54" s="4">
        <f t="array" ref="F54">_xlfn.POISSON.DIST(D54,$B$40,TRUE)</f>
        <v>0.99930034948766511</v>
      </c>
    </row>
    <row r="55" spans="1:6" x14ac:dyDescent="0.25">
      <c r="D55" s="3">
        <v>22</v>
      </c>
      <c r="E55" s="4">
        <f t="array" ref="E55">_xlfn.POISSON.DIST(D55,$B$40,FALSE)</f>
        <v>4.0391370432873514E-4</v>
      </c>
      <c r="F55" s="4">
        <f t="array" ref="F55">_xlfn.POISSON.DIST(D55,$B$40,TRUE)</f>
        <v>0.9997042631919939</v>
      </c>
    </row>
    <row r="56" spans="1:6" x14ac:dyDescent="0.25">
      <c r="D56" s="3">
        <v>23</v>
      </c>
      <c r="E56" s="4">
        <f t="array" ref="E56">_xlfn.POISSON.DIST(D56,$B$40,FALSE)</f>
        <v>1.7561465405597289E-4</v>
      </c>
      <c r="F56" s="4">
        <f t="array" ref="F56">_xlfn.POISSON.DIST(D56,$B$40,TRUE)</f>
        <v>0.99987987784604981</v>
      </c>
    </row>
    <row r="57" spans="1:6" x14ac:dyDescent="0.25">
      <c r="D57" s="3">
        <v>24</v>
      </c>
      <c r="E57" s="4">
        <f t="array" ref="E57">_xlfn.POISSON.DIST(D57,$B$40,FALSE)</f>
        <v>7.317277252332188E-5</v>
      </c>
      <c r="F57" s="4">
        <f t="array" ref="F57">_xlfn.POISSON.DIST(D57,$B$40,TRUE)</f>
        <v>0.9999530506185732</v>
      </c>
    </row>
    <row r="58" spans="1:6" x14ac:dyDescent="0.25">
      <c r="D58" s="3">
        <v>25</v>
      </c>
      <c r="E58" s="4">
        <f t="array" ref="E58">_xlfn.POISSON.DIST(D58,$B$40,FALSE)</f>
        <v>2.926910900932863E-5</v>
      </c>
      <c r="F58" s="4">
        <f t="array" ref="F58">_xlfn.POISSON.DIST(D58,$B$40,TRUE)</f>
        <v>0.99998231972758256</v>
      </c>
    </row>
    <row r="62" spans="1:6" x14ac:dyDescent="0.25">
      <c r="A62" s="2" t="s">
        <v>17</v>
      </c>
      <c r="B62" s="2"/>
    </row>
    <row r="63" spans="1:6" x14ac:dyDescent="0.25">
      <c r="A63" s="2"/>
      <c r="B63" s="2"/>
      <c r="D63" s="3" t="s">
        <v>2</v>
      </c>
      <c r="E63" s="3" t="s">
        <v>3</v>
      </c>
      <c r="F63" s="3" t="s">
        <v>4</v>
      </c>
    </row>
    <row r="64" spans="1:6" x14ac:dyDescent="0.25">
      <c r="A64" s="2" t="s">
        <v>5</v>
      </c>
      <c r="B64" s="2"/>
      <c r="D64" s="3" t="s">
        <v>6</v>
      </c>
      <c r="E64" s="3" t="s">
        <v>7</v>
      </c>
      <c r="F64" s="3" t="s">
        <v>8</v>
      </c>
    </row>
    <row r="65" spans="1:10" x14ac:dyDescent="0.25">
      <c r="A65" s="2"/>
      <c r="B65" s="2"/>
      <c r="D65" s="3">
        <v>0</v>
      </c>
      <c r="E65" s="4">
        <f>_xlfn.POISSON.DIST(D65,$B$72,FALSE)</f>
        <v>6.1442123533282098E-6</v>
      </c>
      <c r="F65" s="4">
        <f t="array" ref="F65">_xlfn.POISSON.DIST(D65,$B$72,TRUE)</f>
        <v>6.1442123533282098E-6</v>
      </c>
    </row>
    <row r="66" spans="1:10" x14ac:dyDescent="0.25">
      <c r="A66" s="2" t="s">
        <v>9</v>
      </c>
      <c r="B66" s="2">
        <v>30</v>
      </c>
      <c r="D66" s="3">
        <v>1</v>
      </c>
      <c r="E66" s="4">
        <f t="shared" ref="E66:E95" si="0">_xlfn.POISSON.DIST(D66,$B$72,FALSE)</f>
        <v>7.3730548239938514E-5</v>
      </c>
      <c r="F66" s="4">
        <f t="array" ref="F66">_xlfn.POISSON.DIST(D66,$B$72,TRUE)</f>
        <v>7.9874760593266728E-5</v>
      </c>
    </row>
    <row r="67" spans="1:10" x14ac:dyDescent="0.25">
      <c r="A67" s="2" t="s">
        <v>10</v>
      </c>
      <c r="B67" s="2">
        <v>0.4</v>
      </c>
      <c r="D67" s="3">
        <v>2</v>
      </c>
      <c r="E67" s="4">
        <f t="shared" si="0"/>
        <v>4.423832894396313E-4</v>
      </c>
      <c r="F67" s="4">
        <f t="array" ref="F67">_xlfn.POISSON.DIST(D67,$B$72,TRUE)</f>
        <v>5.222580500328978E-4</v>
      </c>
    </row>
    <row r="68" spans="1:10" x14ac:dyDescent="0.25">
      <c r="A68" s="2" t="s">
        <v>11</v>
      </c>
      <c r="B68" s="2">
        <f>1-B67</f>
        <v>0.6</v>
      </c>
      <c r="D68" s="3">
        <v>3</v>
      </c>
      <c r="E68" s="4">
        <f t="shared" si="0"/>
        <v>1.7695331577585235E-3</v>
      </c>
      <c r="F68" s="4">
        <f t="array" ref="F68">_xlfn.POISSON.DIST(D68,$B$72,TRUE)</f>
        <v>2.2917912077914221E-3</v>
      </c>
    </row>
    <row r="69" spans="1:10" x14ac:dyDescent="0.25">
      <c r="A69" s="2"/>
      <c r="B69" s="2"/>
      <c r="D69" s="3">
        <v>4</v>
      </c>
      <c r="E69" s="4">
        <f t="shared" si="0"/>
        <v>5.3085994732755765E-3</v>
      </c>
      <c r="F69" s="4">
        <f t="array" ref="F69">_xlfn.POISSON.DIST(D69,$B$72,TRUE)</f>
        <v>7.6003906810669956E-3</v>
      </c>
    </row>
    <row r="70" spans="1:10" x14ac:dyDescent="0.25">
      <c r="A70" s="2" t="s">
        <v>12</v>
      </c>
      <c r="B70" s="2"/>
      <c r="D70" s="3">
        <v>5</v>
      </c>
      <c r="E70" s="4">
        <f t="shared" si="0"/>
        <v>1.2740638735861376E-2</v>
      </c>
      <c r="F70" s="4">
        <f t="array" ref="F70">_xlfn.POISSON.DIST(D70,$B$72,TRUE)</f>
        <v>2.0341029416928367E-2</v>
      </c>
    </row>
    <row r="71" spans="1:10" x14ac:dyDescent="0.25">
      <c r="A71" s="2"/>
      <c r="B71" s="2"/>
      <c r="D71" s="3">
        <v>6</v>
      </c>
      <c r="E71" s="4">
        <f t="shared" si="0"/>
        <v>2.5481277471722744E-2</v>
      </c>
      <c r="F71" s="4">
        <f t="array" ref="F71">_xlfn.POISSON.DIST(D71,$B$72,TRUE)</f>
        <v>4.5822306888651132E-2</v>
      </c>
    </row>
    <row r="72" spans="1:10" x14ac:dyDescent="0.25">
      <c r="A72" s="2" t="s">
        <v>13</v>
      </c>
      <c r="B72" s="2">
        <f t="array" ref="B72">AVERAGE(B66*B67)</f>
        <v>12</v>
      </c>
      <c r="D72" s="3">
        <v>7</v>
      </c>
      <c r="E72" s="4">
        <f t="shared" si="0"/>
        <v>4.3682189951524682E-2</v>
      </c>
      <c r="F72" s="4">
        <f t="array" ref="F72">_xlfn.POISSON.DIST(D72,$B$72,TRUE)</f>
        <v>8.9504496840175862E-2</v>
      </c>
    </row>
    <row r="73" spans="1:10" x14ac:dyDescent="0.25">
      <c r="A73" s="2" t="s">
        <v>14</v>
      </c>
      <c r="B73" s="2">
        <f>B66*B67*(1-B67)</f>
        <v>7.1999999999999993</v>
      </c>
      <c r="D73" s="3">
        <v>8</v>
      </c>
      <c r="E73" s="4">
        <f t="shared" si="0"/>
        <v>6.5523284927287068E-2</v>
      </c>
      <c r="F73" s="4">
        <f t="array" ref="F73">_xlfn.POISSON.DIST(D73,$B$72,TRUE)</f>
        <v>0.15502778176746293</v>
      </c>
    </row>
    <row r="74" spans="1:10" x14ac:dyDescent="0.25">
      <c r="A74" s="2" t="s">
        <v>15</v>
      </c>
      <c r="B74" s="2">
        <f>SQRT(B73)</f>
        <v>2.6832815729997477</v>
      </c>
      <c r="D74" s="3">
        <v>9</v>
      </c>
      <c r="E74" s="4">
        <f t="shared" si="0"/>
        <v>8.7364379903049433E-2</v>
      </c>
      <c r="F74" s="4">
        <f t="array" ref="F74">_xlfn.POISSON.DIST(D74,$B$72,TRUE)</f>
        <v>0.24239216167051239</v>
      </c>
      <c r="J74" s="2" t="s">
        <v>18</v>
      </c>
    </row>
    <row r="75" spans="1:10" x14ac:dyDescent="0.25">
      <c r="D75" s="3">
        <v>10</v>
      </c>
      <c r="E75" s="4">
        <f t="shared" si="0"/>
        <v>0.10483725588365932</v>
      </c>
      <c r="F75" s="4">
        <f t="array" ref="F75">_xlfn.POISSON.DIST(D75,$B$72,TRUE)</f>
        <v>0.34722941755417158</v>
      </c>
    </row>
    <row r="76" spans="1:10" x14ac:dyDescent="0.25">
      <c r="D76" s="3">
        <v>11</v>
      </c>
      <c r="E76" s="4">
        <f t="shared" si="0"/>
        <v>0.11436791550944653</v>
      </c>
      <c r="F76" s="4">
        <f t="array" ref="F76">_xlfn.POISSON.DIST(D76,$B$72,TRUE)</f>
        <v>0.46159733306361805</v>
      </c>
    </row>
    <row r="77" spans="1:10" x14ac:dyDescent="0.25">
      <c r="D77" s="3">
        <v>12</v>
      </c>
      <c r="E77" s="4">
        <f t="shared" si="0"/>
        <v>0.11436791550944654</v>
      </c>
      <c r="F77" s="4">
        <f t="array" ref="F77">_xlfn.POISSON.DIST(D77,$B$72,TRUE)</f>
        <v>0.57596524857306464</v>
      </c>
    </row>
    <row r="78" spans="1:10" x14ac:dyDescent="0.25">
      <c r="D78" s="3">
        <v>13</v>
      </c>
      <c r="E78" s="4">
        <f t="shared" si="0"/>
        <v>0.10557038354718144</v>
      </c>
      <c r="F78" s="4">
        <f t="array" ref="F78">_xlfn.POISSON.DIST(D78,$B$72,TRUE)</f>
        <v>0.68153563212024593</v>
      </c>
    </row>
    <row r="79" spans="1:10" x14ac:dyDescent="0.25">
      <c r="D79" s="3">
        <v>14</v>
      </c>
      <c r="E79" s="4">
        <f t="shared" si="0"/>
        <v>9.0488900183298387E-2</v>
      </c>
      <c r="F79" s="4">
        <f t="array" ref="F79">_xlfn.POISSON.DIST(D79,$B$72,TRUE)</f>
        <v>0.77202453230354462</v>
      </c>
    </row>
    <row r="80" spans="1:10" x14ac:dyDescent="0.25">
      <c r="D80" s="3">
        <v>15</v>
      </c>
      <c r="E80" s="4">
        <f t="shared" si="0"/>
        <v>7.2391120146638691E-2</v>
      </c>
      <c r="F80" s="4">
        <f t="array" ref="F80">_xlfn.POISSON.DIST(D80,$B$72,TRUE)</f>
        <v>0.84441565245018313</v>
      </c>
    </row>
    <row r="81" spans="4:6" x14ac:dyDescent="0.25">
      <c r="D81" s="3">
        <v>16</v>
      </c>
      <c r="E81" s="4">
        <f t="shared" si="0"/>
        <v>5.4293340109979028E-2</v>
      </c>
      <c r="F81" s="4">
        <f t="array" ref="F81">_xlfn.POISSON.DIST(D81,$B$72,TRUE)</f>
        <v>0.89870899256016212</v>
      </c>
    </row>
    <row r="82" spans="4:6" x14ac:dyDescent="0.25">
      <c r="D82" s="3">
        <v>17</v>
      </c>
      <c r="E82" s="4">
        <f t="shared" si="0"/>
        <v>3.8324710665867553E-2</v>
      </c>
      <c r="F82" s="4">
        <f t="array" ref="F82">_xlfn.POISSON.DIST(D82,$B$72,TRUE)</f>
        <v>0.93703370322602975</v>
      </c>
    </row>
    <row r="83" spans="4:6" x14ac:dyDescent="0.25">
      <c r="D83" s="3">
        <v>18</v>
      </c>
      <c r="E83" s="4">
        <f t="shared" si="0"/>
        <v>2.5549807110578349E-2</v>
      </c>
      <c r="F83" s="4">
        <f t="array" ref="F83">_xlfn.POISSON.DIST(D83,$B$72,TRUE)</f>
        <v>0.96258351033660805</v>
      </c>
    </row>
    <row r="84" spans="4:6" x14ac:dyDescent="0.25">
      <c r="D84" s="3">
        <v>19</v>
      </c>
      <c r="E84" s="4">
        <f t="shared" si="0"/>
        <v>1.6136720280365273E-2</v>
      </c>
      <c r="F84" s="4">
        <f t="array" ref="F84">_xlfn.POISSON.DIST(D84,$B$72,TRUE)</f>
        <v>0.97872023061697333</v>
      </c>
    </row>
    <row r="85" spans="4:6" x14ac:dyDescent="0.25">
      <c r="D85" s="3">
        <v>20</v>
      </c>
      <c r="E85" s="4">
        <f t="shared" si="0"/>
        <v>9.6820321682191679E-3</v>
      </c>
      <c r="F85" s="4">
        <f t="array" ref="F85">_xlfn.POISSON.DIST(D85,$B$72,TRUE)</f>
        <v>0.9884022627851925</v>
      </c>
    </row>
    <row r="86" spans="4:6" x14ac:dyDescent="0.25">
      <c r="D86" s="3">
        <v>21</v>
      </c>
      <c r="E86" s="4">
        <f t="shared" si="0"/>
        <v>5.5325898104109563E-3</v>
      </c>
      <c r="F86" s="4">
        <f t="array" ref="F86">_xlfn.POISSON.DIST(D86,$B$72,TRUE)</f>
        <v>0.99393485259560355</v>
      </c>
    </row>
    <row r="87" spans="4:6" x14ac:dyDescent="0.25">
      <c r="D87" s="3">
        <v>22</v>
      </c>
      <c r="E87" s="4">
        <f t="shared" si="0"/>
        <v>3.0177762602241584E-3</v>
      </c>
      <c r="F87" s="4">
        <f t="array" ref="F87">_xlfn.POISSON.DIST(D87,$B$72,TRUE)</f>
        <v>0.99695262885582769</v>
      </c>
    </row>
    <row r="88" spans="4:6" x14ac:dyDescent="0.25">
      <c r="D88" s="3">
        <v>23</v>
      </c>
      <c r="E88" s="4">
        <f t="shared" si="0"/>
        <v>1.5744919618560791E-3</v>
      </c>
      <c r="F88" s="4">
        <f t="array" ref="F88">_xlfn.POISSON.DIST(D88,$B$72,TRUE)</f>
        <v>0.9985271208176838</v>
      </c>
    </row>
    <row r="89" spans="4:6" x14ac:dyDescent="0.25">
      <c r="D89" s="3">
        <v>24</v>
      </c>
      <c r="E89" s="4">
        <f t="shared" si="0"/>
        <v>7.8724598092804214E-4</v>
      </c>
      <c r="F89" s="4">
        <f t="array" ref="F89">_xlfn.POISSON.DIST(D89,$B$72,TRUE)</f>
        <v>0.99931436679861174</v>
      </c>
    </row>
    <row r="90" spans="4:6" x14ac:dyDescent="0.25">
      <c r="D90" s="3">
        <v>25</v>
      </c>
      <c r="E90" s="4">
        <f t="shared" si="0"/>
        <v>3.7787807084545873E-4</v>
      </c>
      <c r="F90" s="4">
        <f t="array" ref="F90">_xlfn.POISSON.DIST(D90,$B$72,TRUE)</f>
        <v>0.99969224486945718</v>
      </c>
    </row>
    <row r="91" spans="4:6" x14ac:dyDescent="0.25">
      <c r="D91" s="3">
        <v>26</v>
      </c>
      <c r="E91" s="4">
        <f t="shared" si="0"/>
        <v>1.7440526346713551E-4</v>
      </c>
      <c r="F91" s="4">
        <f t="array" ref="F91">_xlfn.POISSON.DIST(D91,$B$72,TRUE)</f>
        <v>0.99986665013292431</v>
      </c>
    </row>
    <row r="92" spans="4:6" x14ac:dyDescent="0.25">
      <c r="D92" s="3">
        <v>27</v>
      </c>
      <c r="E92" s="4">
        <f t="shared" si="0"/>
        <v>7.7513450429837866E-5</v>
      </c>
      <c r="F92" s="4">
        <f t="array" ref="F92">_xlfn.POISSON.DIST(D92,$B$72,TRUE)</f>
        <v>0.99994416358335414</v>
      </c>
    </row>
    <row r="93" spans="4:6" x14ac:dyDescent="0.25">
      <c r="D93" s="3">
        <v>28</v>
      </c>
      <c r="E93" s="4">
        <f t="shared" si="0"/>
        <v>3.3220050184216148E-5</v>
      </c>
      <c r="F93" s="4">
        <f t="array" ref="F93">_xlfn.POISSON.DIST(D93,$B$72,TRUE)</f>
        <v>0.99997738363353839</v>
      </c>
    </row>
    <row r="94" spans="4:6" x14ac:dyDescent="0.25">
      <c r="D94" s="3">
        <v>29</v>
      </c>
      <c r="E94" s="4">
        <f t="shared" si="0"/>
        <v>1.374622766243433E-5</v>
      </c>
      <c r="F94" s="4">
        <f t="array" ref="F94">_xlfn.POISSON.DIST(D94,$B$72,TRUE)</f>
        <v>0.99999112986120087</v>
      </c>
    </row>
    <row r="95" spans="4:6" x14ac:dyDescent="0.25">
      <c r="D95" s="3">
        <v>30</v>
      </c>
      <c r="E95" s="4">
        <f t="shared" si="0"/>
        <v>5.4984910649737217E-6</v>
      </c>
      <c r="F95" s="4">
        <f t="array" ref="F95">_xlfn.POISSON.DIST(D95,$B$72,TRUE)</f>
        <v>0.99999662835226588</v>
      </c>
    </row>
    <row r="98" spans="1:10" x14ac:dyDescent="0.25">
      <c r="A98" s="2" t="s">
        <v>19</v>
      </c>
      <c r="B98" s="2"/>
    </row>
    <row r="99" spans="1:10" x14ac:dyDescent="0.25">
      <c r="A99" s="2"/>
      <c r="B99" s="2"/>
      <c r="D99" s="3" t="s">
        <v>20</v>
      </c>
      <c r="E99" s="3" t="s">
        <v>3</v>
      </c>
      <c r="F99" s="3" t="s">
        <v>4</v>
      </c>
      <c r="G99" s="2"/>
    </row>
    <row r="100" spans="1:10" x14ac:dyDescent="0.25">
      <c r="A100" s="2" t="s">
        <v>5</v>
      </c>
      <c r="B100" s="2"/>
      <c r="D100" s="3" t="s">
        <v>6</v>
      </c>
      <c r="E100" s="3" t="s">
        <v>7</v>
      </c>
      <c r="F100" s="3" t="s">
        <v>8</v>
      </c>
      <c r="G100" s="2"/>
    </row>
    <row r="101" spans="1:10" x14ac:dyDescent="0.25">
      <c r="A101" s="2"/>
      <c r="B101" s="2"/>
      <c r="D101" s="3">
        <v>0</v>
      </c>
      <c r="E101" s="4">
        <f t="array" ref="E101">_xlfn.POISSON.DIST(D101,$B$108,FALSE)</f>
        <v>9.2374496619705944E-9</v>
      </c>
      <c r="F101" s="4">
        <f t="array" ref="F101">_xlfn.POISSON.DIST(D101,$B$108,TRUE)</f>
        <v>9.2374496619705944E-9</v>
      </c>
      <c r="G101" s="2"/>
    </row>
    <row r="102" spans="1:10" x14ac:dyDescent="0.25">
      <c r="A102" s="2" t="s">
        <v>9</v>
      </c>
      <c r="B102" s="2">
        <v>37</v>
      </c>
      <c r="D102" s="3">
        <v>1</v>
      </c>
      <c r="E102" s="4">
        <f t="array" ref="E102">_xlfn.POISSON.DIST(D102,$B$108,FALSE)</f>
        <v>1.7089281874645599E-7</v>
      </c>
      <c r="F102" s="4">
        <f t="array" ref="F102">_xlfn.POISSON.DIST(D102,$B$108,TRUE)</f>
        <v>1.8013026840842659E-7</v>
      </c>
      <c r="G102" s="2"/>
    </row>
    <row r="103" spans="1:10" x14ac:dyDescent="0.25">
      <c r="A103" s="2" t="s">
        <v>10</v>
      </c>
      <c r="B103" s="2">
        <v>0.5</v>
      </c>
      <c r="D103" s="3">
        <v>2</v>
      </c>
      <c r="E103" s="4">
        <f t="array" ref="E103">_xlfn.POISSON.DIST(D103,$B$108,FALSE)</f>
        <v>1.5807585734047167E-6</v>
      </c>
      <c r="F103" s="4">
        <f t="array" ref="F103">_xlfn.POISSON.DIST(D103,$B$108,TRUE)</f>
        <v>1.7608888418131444E-6</v>
      </c>
      <c r="G103" s="2"/>
    </row>
    <row r="104" spans="1:10" x14ac:dyDescent="0.25">
      <c r="A104" s="2" t="s">
        <v>11</v>
      </c>
      <c r="B104" s="2">
        <f>1-B103</f>
        <v>0.5</v>
      </c>
      <c r="D104" s="3">
        <v>3</v>
      </c>
      <c r="E104" s="4">
        <f t="array" ref="E104">_xlfn.POISSON.DIST(D104,$B$108,FALSE)</f>
        <v>9.7480112026624334E-6</v>
      </c>
      <c r="F104" s="4">
        <f t="array" ref="F104">_xlfn.POISSON.DIST(D104,$B$108,TRUE)</f>
        <v>1.1508900044475572E-5</v>
      </c>
      <c r="G104" s="2"/>
    </row>
    <row r="105" spans="1:10" x14ac:dyDescent="0.25">
      <c r="A105" s="2"/>
      <c r="B105" s="2"/>
      <c r="D105" s="3">
        <v>4</v>
      </c>
      <c r="E105" s="4">
        <f t="array" ref="E105">_xlfn.POISSON.DIST(D105,$B$108,FALSE)</f>
        <v>4.5084551812313776E-5</v>
      </c>
      <c r="F105" s="4">
        <f t="array" ref="F105">_xlfn.POISSON.DIST(D105,$B$108,TRUE)</f>
        <v>5.6593451856789288E-5</v>
      </c>
      <c r="G105" s="2"/>
    </row>
    <row r="106" spans="1:10" x14ac:dyDescent="0.25">
      <c r="A106" s="2" t="s">
        <v>12</v>
      </c>
      <c r="B106" s="2"/>
      <c r="D106" s="3">
        <v>5</v>
      </c>
      <c r="E106" s="4">
        <f t="array" ref="E106">_xlfn.POISSON.DIST(D106,$B$108,FALSE)</f>
        <v>1.6681284170556073E-4</v>
      </c>
      <c r="F106" s="4">
        <f t="array" ref="F106">_xlfn.POISSON.DIST(D106,$B$108,TRUE)</f>
        <v>2.234062935623501E-4</v>
      </c>
      <c r="G106" s="2"/>
    </row>
    <row r="107" spans="1:10" x14ac:dyDescent="0.25">
      <c r="A107" s="2"/>
      <c r="B107" s="2"/>
      <c r="D107" s="3">
        <v>6</v>
      </c>
      <c r="E107" s="4">
        <f t="array" ref="E107">_xlfn.POISSON.DIST(D107,$B$108,FALSE)</f>
        <v>5.143395952588118E-4</v>
      </c>
      <c r="F107" s="4">
        <f t="array" ref="F107">_xlfn.POISSON.DIST(D107,$B$108,TRUE)</f>
        <v>7.3774588882116255E-4</v>
      </c>
      <c r="G107" s="2"/>
      <c r="J107" s="5"/>
    </row>
    <row r="108" spans="1:10" x14ac:dyDescent="0.25">
      <c r="A108" s="2" t="s">
        <v>13</v>
      </c>
      <c r="B108" s="2">
        <f>B102*B103</f>
        <v>18.5</v>
      </c>
      <c r="D108" s="3">
        <v>7</v>
      </c>
      <c r="E108" s="4">
        <f t="array" ref="E108">_xlfn.POISSON.DIST(D108,$B$108,FALSE)</f>
        <v>1.3593260731840048E-3</v>
      </c>
      <c r="F108" s="4">
        <f t="array" ref="F108">_xlfn.POISSON.DIST(D108,$B$108,TRUE)</f>
        <v>2.0970719620051672E-3</v>
      </c>
      <c r="G108" s="2"/>
    </row>
    <row r="109" spans="1:10" x14ac:dyDescent="0.25">
      <c r="A109" s="2" t="s">
        <v>14</v>
      </c>
      <c r="B109" s="2">
        <f t="array" ref="B109">B102*B103*(1-B103)</f>
        <v>9.25</v>
      </c>
      <c r="D109" s="3">
        <v>8</v>
      </c>
      <c r="E109" s="4">
        <f t="array" ref="E109">_xlfn.POISSON.DIST(D109,$B$108,FALSE)</f>
        <v>3.1434415442380109E-3</v>
      </c>
      <c r="F109" s="4">
        <f t="array" ref="F109">_xlfn.POISSON.DIST(D109,$B$108,TRUE)</f>
        <v>5.2405135062431789E-3</v>
      </c>
      <c r="G109" s="2"/>
    </row>
    <row r="110" spans="1:10" x14ac:dyDescent="0.25">
      <c r="A110" s="2" t="s">
        <v>15</v>
      </c>
      <c r="B110" s="2">
        <f t="array" ref="B110">SQRT(B109)</f>
        <v>3.0413812651491097</v>
      </c>
      <c r="D110" s="3">
        <v>9</v>
      </c>
      <c r="E110" s="4">
        <f t="array" ref="E110">_xlfn.POISSON.DIST(D110,$B$108,FALSE)</f>
        <v>6.4615187298225742E-3</v>
      </c>
      <c r="F110" s="4">
        <f t="array" ref="F110">_xlfn.POISSON.DIST(D110,$B$108,TRUE)</f>
        <v>1.170203223606575E-2</v>
      </c>
      <c r="G110" s="2"/>
    </row>
    <row r="111" spans="1:10" x14ac:dyDescent="0.25">
      <c r="D111" s="3">
        <v>10</v>
      </c>
      <c r="E111" s="4">
        <f t="array" ref="E111">_xlfn.POISSON.DIST(D111,$B$108,FALSE)</f>
        <v>1.1953809650171759E-2</v>
      </c>
      <c r="F111" s="4">
        <f t="array" ref="F111">_xlfn.POISSON.DIST(D111,$B$108,TRUE)</f>
        <v>2.3655841886237514E-2</v>
      </c>
      <c r="G111" s="2"/>
    </row>
    <row r="112" spans="1:10" x14ac:dyDescent="0.25">
      <c r="D112" s="3">
        <v>11</v>
      </c>
      <c r="E112" s="4">
        <f t="array" ref="E112">_xlfn.POISSON.DIST(D112,$B$108,FALSE)</f>
        <v>2.0104134411652493E-2</v>
      </c>
      <c r="F112" s="4">
        <f t="array" ref="F112">_xlfn.POISSON.DIST(D112,$B$108,TRUE)</f>
        <v>4.3759976297890031E-2</v>
      </c>
      <c r="G112" s="2"/>
    </row>
    <row r="113" spans="4:7" x14ac:dyDescent="0.25">
      <c r="D113" s="3">
        <v>12</v>
      </c>
      <c r="E113" s="4">
        <f t="array" ref="E113">_xlfn.POISSON.DIST(D113,$B$108,FALSE)</f>
        <v>3.0993873884630933E-2</v>
      </c>
      <c r="F113" s="4">
        <f t="array" ref="F113">_xlfn.POISSON.DIST(D113,$B$108,TRUE)</f>
        <v>7.4753850182520995E-2</v>
      </c>
      <c r="G113" s="2"/>
    </row>
    <row r="114" spans="4:7" x14ac:dyDescent="0.25">
      <c r="D114" s="3">
        <v>13</v>
      </c>
      <c r="E114" s="4">
        <f t="array" ref="E114">_xlfn.POISSON.DIST(D114,$B$108,FALSE)</f>
        <v>4.4106666681974813E-2</v>
      </c>
      <c r="F114" s="4">
        <f t="array" ref="F114">_xlfn.POISSON.DIST(D114,$B$108,TRUE)</f>
        <v>0.11886051686449582</v>
      </c>
      <c r="G114" s="2"/>
    </row>
    <row r="115" spans="4:7" x14ac:dyDescent="0.25">
      <c r="D115" s="3">
        <v>14</v>
      </c>
      <c r="E115" s="4">
        <f t="array" ref="E115">_xlfn.POISSON.DIST(D115,$B$108,FALSE)</f>
        <v>5.8283809544038168E-2</v>
      </c>
      <c r="F115" s="4">
        <f t="array" ref="F115">_xlfn.POISSON.DIST(D115,$B$108,TRUE)</f>
        <v>0.17714432640853392</v>
      </c>
      <c r="G115" s="2"/>
    </row>
    <row r="116" spans="4:7" x14ac:dyDescent="0.25">
      <c r="D116" s="3">
        <v>15</v>
      </c>
      <c r="E116" s="4">
        <f t="array" ref="E116">_xlfn.POISSON.DIST(D116,$B$108,FALSE)</f>
        <v>7.1883365104313771E-2</v>
      </c>
      <c r="F116" s="4">
        <f t="array" ref="F116">_xlfn.POISSON.DIST(D116,$B$108,TRUE)</f>
        <v>0.24902769151284768</v>
      </c>
      <c r="G116" s="2"/>
    </row>
    <row r="117" spans="4:7" x14ac:dyDescent="0.25">
      <c r="D117" s="3">
        <v>16</v>
      </c>
      <c r="E117" s="4">
        <f t="array" ref="E117">_xlfn.POISSON.DIST(D117,$B$108,FALSE)</f>
        <v>8.3115140901862755E-2</v>
      </c>
      <c r="F117" s="4">
        <f t="array" ref="F117">_xlfn.POISSON.DIST(D117,$B$108,TRUE)</f>
        <v>0.33214283241471054</v>
      </c>
      <c r="G117" s="2"/>
    </row>
    <row r="118" spans="4:7" x14ac:dyDescent="0.25">
      <c r="D118" s="3">
        <v>17</v>
      </c>
      <c r="E118" s="4">
        <f t="array" ref="E118">_xlfn.POISSON.DIST(D118,$B$108,FALSE)</f>
        <v>9.0448829804968309E-2</v>
      </c>
      <c r="F118" s="4">
        <f t="array" ref="F118">_xlfn.POISSON.DIST(D118,$B$108,TRUE)</f>
        <v>0.4225916622196787</v>
      </c>
      <c r="G118" s="2"/>
    </row>
    <row r="119" spans="4:7" x14ac:dyDescent="0.25">
      <c r="D119" s="3">
        <v>18</v>
      </c>
      <c r="E119" s="4">
        <f t="array" ref="E119">_xlfn.POISSON.DIST(D119,$B$108,FALSE)</f>
        <v>9.2961297299550757E-2</v>
      </c>
      <c r="F119" s="4">
        <f t="array" ref="F119">_xlfn.POISSON.DIST(D119,$B$108,TRUE)</f>
        <v>0.51555295951922975</v>
      </c>
      <c r="G119" s="2"/>
    </row>
    <row r="120" spans="4:7" x14ac:dyDescent="0.25">
      <c r="D120" s="3">
        <v>19</v>
      </c>
      <c r="E120" s="4">
        <f t="array" ref="E120">_xlfn.POISSON.DIST(D120,$B$108,FALSE)</f>
        <v>9.0514947370615217E-2</v>
      </c>
      <c r="F120" s="4">
        <f t="array" ref="F120">_xlfn.POISSON.DIST(D120,$B$108,TRUE)</f>
        <v>0.60606790688984491</v>
      </c>
      <c r="G120" s="2"/>
    </row>
    <row r="121" spans="4:7" x14ac:dyDescent="0.25">
      <c r="D121" s="3">
        <v>20</v>
      </c>
      <c r="E121" s="4">
        <f t="array" ref="E121">_xlfn.POISSON.DIST(D121,$B$108,FALSE)</f>
        <v>8.3726326317819066E-2</v>
      </c>
      <c r="F121" s="4">
        <f t="array" ref="F121">_xlfn.POISSON.DIST(D121,$B$108,TRUE)</f>
        <v>0.68979423320766386</v>
      </c>
      <c r="G121" s="2"/>
    </row>
    <row r="122" spans="4:7" x14ac:dyDescent="0.25">
      <c r="D122" s="3">
        <v>21</v>
      </c>
      <c r="E122" s="4">
        <f t="array" ref="E122">_xlfn.POISSON.DIST(D122,$B$108,FALSE)</f>
        <v>7.3758906518078676E-2</v>
      </c>
      <c r="F122" s="4">
        <f t="array" ref="F122">_xlfn.POISSON.DIST(D122,$B$108,TRUE)</f>
        <v>0.76355313972574246</v>
      </c>
      <c r="G122" s="2"/>
    </row>
    <row r="123" spans="4:7" x14ac:dyDescent="0.25">
      <c r="D123" s="3">
        <v>22</v>
      </c>
      <c r="E123" s="4">
        <f t="array" ref="E123">_xlfn.POISSON.DIST(D123,$B$108,FALSE)</f>
        <v>6.2024535026566227E-2</v>
      </c>
      <c r="F123" s="4">
        <f t="array" ref="F123">_xlfn.POISSON.DIST(D123,$B$108,TRUE)</f>
        <v>0.8255776747523087</v>
      </c>
      <c r="G123" s="2"/>
    </row>
    <row r="124" spans="4:7" x14ac:dyDescent="0.25">
      <c r="D124" s="3">
        <v>23</v>
      </c>
      <c r="E124" s="4">
        <f t="array" ref="E124">_xlfn.POISSON.DIST(D124,$B$108,FALSE)</f>
        <v>4.988929991267279E-2</v>
      </c>
      <c r="F124" s="4">
        <f t="array" ref="F124">_xlfn.POISSON.DIST(D124,$B$108,TRUE)</f>
        <v>0.87546697466498147</v>
      </c>
      <c r="G124" s="2"/>
    </row>
    <row r="125" spans="4:7" x14ac:dyDescent="0.25">
      <c r="D125" s="3">
        <v>24</v>
      </c>
      <c r="E125" s="4">
        <f t="array" ref="E125">_xlfn.POISSON.DIST(D125,$B$108,FALSE)</f>
        <v>3.8456335349351972E-2</v>
      </c>
      <c r="F125" s="4">
        <f t="array" ref="F125">_xlfn.POISSON.DIST(D125,$B$108,TRUE)</f>
        <v>0.91392331001433347</v>
      </c>
      <c r="G125" s="2"/>
    </row>
    <row r="126" spans="4:7" x14ac:dyDescent="0.25">
      <c r="D126" s="3">
        <v>25</v>
      </c>
      <c r="E126" s="4">
        <f t="array" ref="E126">_xlfn.POISSON.DIST(D126,$B$108,FALSE)</f>
        <v>2.8457688158520466E-2</v>
      </c>
      <c r="F126" s="4">
        <f t="array" ref="F126">_xlfn.POISSON.DIST(D126,$B$108,TRUE)</f>
        <v>0.94238099817285381</v>
      </c>
      <c r="G126" s="2"/>
    </row>
    <row r="127" spans="4:7" x14ac:dyDescent="0.25">
      <c r="D127" s="3">
        <v>26</v>
      </c>
      <c r="E127" s="4">
        <f t="array" ref="E127">_xlfn.POISSON.DIST(D127,$B$108,FALSE)</f>
        <v>2.0248739651254916E-2</v>
      </c>
      <c r="F127" s="4">
        <f t="array" ref="F127">_xlfn.POISSON.DIST(D127,$B$108,TRUE)</f>
        <v>0.96262973782410888</v>
      </c>
      <c r="G127" s="2"/>
    </row>
    <row r="128" spans="4:7" x14ac:dyDescent="0.25">
      <c r="D128" s="3">
        <v>27</v>
      </c>
      <c r="E128" s="4">
        <f t="array" ref="E128">_xlfn.POISSON.DIST(D128,$B$108,FALSE)</f>
        <v>1.38741364277117E-2</v>
      </c>
      <c r="F128" s="4">
        <f t="array" ref="F128">_xlfn.POISSON.DIST(D128,$B$108,TRUE)</f>
        <v>0.97650387425182061</v>
      </c>
      <c r="G128" s="2"/>
    </row>
    <row r="129" spans="1:7" x14ac:dyDescent="0.25">
      <c r="D129" s="3">
        <v>28</v>
      </c>
      <c r="E129" s="4">
        <f t="array" ref="E129">_xlfn.POISSON.DIST(D129,$B$108,FALSE)</f>
        <v>9.1668401397380795E-3</v>
      </c>
      <c r="F129" s="4">
        <f t="array" ref="F129">_xlfn.POISSON.DIST(D129,$B$108,TRUE)</f>
        <v>0.98567071439155862</v>
      </c>
      <c r="G129" s="2"/>
    </row>
    <row r="130" spans="1:7" x14ac:dyDescent="0.25">
      <c r="D130" s="3">
        <v>29</v>
      </c>
      <c r="E130" s="4">
        <f t="array" ref="E130">_xlfn.POISSON.DIST(D130,$B$108,FALSE)</f>
        <v>5.8478118132812059E-3</v>
      </c>
      <c r="F130" s="4">
        <f t="array" ref="F130">_xlfn.POISSON.DIST(D130,$B$108,TRUE)</f>
        <v>0.99151852620483982</v>
      </c>
      <c r="G130" s="2"/>
    </row>
    <row r="131" spans="1:7" x14ac:dyDescent="0.25">
      <c r="D131" s="3">
        <v>30</v>
      </c>
      <c r="E131" s="4">
        <f t="array" ref="E131">_xlfn.POISSON.DIST(D131,$B$108,FALSE)</f>
        <v>3.6061506181900697E-3</v>
      </c>
      <c r="F131" s="4">
        <f t="array" ref="F131">_xlfn.POISSON.DIST(D131,$B$108,TRUE)</f>
        <v>0.99512467682302996</v>
      </c>
      <c r="G131" s="2"/>
    </row>
    <row r="132" spans="1:7" x14ac:dyDescent="0.25">
      <c r="D132" s="3">
        <v>31</v>
      </c>
      <c r="E132" s="4">
        <f t="array" ref="E132">_xlfn.POISSON.DIST(D132,$B$108,FALSE)</f>
        <v>2.1520576269843982E-3</v>
      </c>
      <c r="F132" s="4">
        <f t="array" ref="F132">_xlfn.POISSON.DIST(D132,$B$108,TRUE)</f>
        <v>0.9972767344500143</v>
      </c>
      <c r="G132" s="2"/>
    </row>
    <row r="133" spans="1:7" x14ac:dyDescent="0.25">
      <c r="D133" s="3">
        <v>32</v>
      </c>
      <c r="E133" s="4">
        <f t="array" ref="E133">_xlfn.POISSON.DIST(D133,$B$108,FALSE)</f>
        <v>1.2441583156003525E-3</v>
      </c>
      <c r="F133" s="4">
        <f t="array" ref="F133">_xlfn.POISSON.DIST(D133,$B$108,TRUE)</f>
        <v>0.99852089276561462</v>
      </c>
      <c r="G133" s="2"/>
    </row>
    <row r="134" spans="1:7" x14ac:dyDescent="0.25">
      <c r="D134" s="3">
        <v>33</v>
      </c>
      <c r="E134" s="4">
        <f t="array" ref="E134">_xlfn.POISSON.DIST(D134,$B$108,FALSE)</f>
        <v>6.9748269207898811E-4</v>
      </c>
      <c r="F134" s="4">
        <f t="array" ref="F134">_xlfn.POISSON.DIST(D134,$B$108,TRUE)</f>
        <v>0.99921837545769365</v>
      </c>
      <c r="G134" s="2"/>
    </row>
    <row r="135" spans="1:7" x14ac:dyDescent="0.25">
      <c r="D135" s="3">
        <v>34</v>
      </c>
      <c r="E135" s="4">
        <f t="array" ref="E135">_xlfn.POISSON.DIST(D135,$B$108,FALSE)</f>
        <v>3.7951264127827222E-4</v>
      </c>
      <c r="F135" s="4">
        <f t="array" ref="F135">_xlfn.POISSON.DIST(D135,$B$108,TRUE)</f>
        <v>0.99959788809897199</v>
      </c>
      <c r="G135" s="2"/>
    </row>
    <row r="136" spans="1:7" x14ac:dyDescent="0.25">
      <c r="D136" s="3">
        <v>35</v>
      </c>
      <c r="E136" s="4">
        <f t="array" ref="E136">_xlfn.POISSON.DIST(D136,$B$108,FALSE)</f>
        <v>2.0059953896137193E-4</v>
      </c>
      <c r="F136" s="4">
        <f t="array" ref="F136">_xlfn.POISSON.DIST(D136,$B$108,TRUE)</f>
        <v>0.99979848763793333</v>
      </c>
      <c r="G136" s="2"/>
    </row>
    <row r="137" spans="1:7" x14ac:dyDescent="0.25">
      <c r="D137" s="3">
        <v>36</v>
      </c>
      <c r="E137" s="4">
        <f t="array" ref="E137">_xlfn.POISSON.DIST(D137,$B$108,FALSE)</f>
        <v>1.0308587418848291E-4</v>
      </c>
      <c r="F137" s="4">
        <f t="array" ref="F137">_xlfn.POISSON.DIST(D137,$B$108,TRUE)</f>
        <v>0.99990157351212172</v>
      </c>
      <c r="G137" s="2"/>
    </row>
    <row r="138" spans="1:7" x14ac:dyDescent="0.25">
      <c r="D138" s="3">
        <v>37</v>
      </c>
      <c r="E138" s="4">
        <f t="array" ref="E138">_xlfn.POISSON.DIST(D138,$B$108,FALSE)</f>
        <v>5.1542937094241643E-5</v>
      </c>
      <c r="F138" s="4">
        <f t="array" ref="F138">_xlfn.POISSON.DIST(D138,$B$108,TRUE)</f>
        <v>0.99995311644921603</v>
      </c>
      <c r="G138" s="2"/>
    </row>
    <row r="141" spans="1:7" ht="23.25" x14ac:dyDescent="0.35">
      <c r="E141" s="6" t="s">
        <v>27</v>
      </c>
    </row>
    <row r="142" spans="1:7" x14ac:dyDescent="0.25">
      <c r="A142" s="2" t="s">
        <v>21</v>
      </c>
      <c r="B142" s="2"/>
    </row>
    <row r="143" spans="1:7" x14ac:dyDescent="0.25">
      <c r="A143" s="2"/>
      <c r="B143" s="2"/>
      <c r="D143" s="3" t="s">
        <v>20</v>
      </c>
      <c r="E143" s="3" t="s">
        <v>3</v>
      </c>
      <c r="F143" s="3" t="s">
        <v>4</v>
      </c>
      <c r="G143" s="3" t="s">
        <v>22</v>
      </c>
    </row>
    <row r="144" spans="1:7" x14ac:dyDescent="0.25">
      <c r="A144" s="2" t="s">
        <v>5</v>
      </c>
      <c r="B144" s="2"/>
      <c r="D144" s="3" t="s">
        <v>6</v>
      </c>
      <c r="E144" s="3" t="s">
        <v>7</v>
      </c>
      <c r="F144" s="3" t="s">
        <v>8</v>
      </c>
      <c r="G144" s="3" t="s">
        <v>23</v>
      </c>
    </row>
    <row r="145" spans="1:7" x14ac:dyDescent="0.25">
      <c r="A145" s="2"/>
      <c r="B145" s="2"/>
      <c r="D145" s="3">
        <v>0</v>
      </c>
      <c r="E145" s="3">
        <f t="array" ref="E145">_xlfn.POISSON.DIST(D145,$B$152,FALSE)</f>
        <v>9.3576229688401748E-14</v>
      </c>
      <c r="F145" s="3">
        <f t="array" ref="F145">_xlfn.POISSON.DIST(D145,$B$152,TRUE)</f>
        <v>9.3576229688401748E-14</v>
      </c>
      <c r="G145" s="3">
        <f t="array" ref="G145">_xlfn.BINOM.DIST(D145,$B$146,$B$147,FALSE)</f>
        <v>1.2676506002282335E-20</v>
      </c>
    </row>
    <row r="146" spans="1:7" x14ac:dyDescent="0.25">
      <c r="A146" s="2" t="s">
        <v>9</v>
      </c>
      <c r="B146" s="2">
        <v>50</v>
      </c>
      <c r="D146" s="3">
        <v>1</v>
      </c>
      <c r="E146" s="3">
        <f t="array" ref="E146">_xlfn.POISSON.DIST(D146,$B$152,FALSE)</f>
        <v>2.8072868906520526E-12</v>
      </c>
      <c r="F146" s="3">
        <f t="array" ref="F146">_xlfn.POISSON.DIST(D146,$B$152,TRUE)</f>
        <v>2.9008631203404541E-12</v>
      </c>
      <c r="G146" s="3">
        <f t="array" ref="G146">_xlfn.BINOM.DIST(D146,$B$146,$B$147,FALSE)</f>
        <v>9.5073795017117106E-19</v>
      </c>
    </row>
    <row r="147" spans="1:7" x14ac:dyDescent="0.25">
      <c r="A147" s="2" t="s">
        <v>10</v>
      </c>
      <c r="B147" s="2">
        <v>0.6</v>
      </c>
      <c r="D147" s="3">
        <v>2</v>
      </c>
      <c r="E147" s="3">
        <f t="array" ref="E147">_xlfn.POISSON.DIST(D147,$B$152,FALSE)</f>
        <v>4.2109303359780846E-11</v>
      </c>
      <c r="F147" s="3">
        <f t="array" ref="F147">_xlfn.POISSON.DIST(D147,$B$152,TRUE)</f>
        <v>4.5010166480121238E-11</v>
      </c>
      <c r="G147" s="3">
        <f t="array" ref="G147">_xlfn.BINOM.DIST(D147,$B$146,$B$147,FALSE)</f>
        <v>3.4939619668790754E-17</v>
      </c>
    </row>
    <row r="148" spans="1:7" x14ac:dyDescent="0.25">
      <c r="A148" s="2" t="s">
        <v>11</v>
      </c>
      <c r="B148" s="2">
        <f t="array" ref="B148">1-B147</f>
        <v>0.4</v>
      </c>
      <c r="D148" s="3">
        <v>3</v>
      </c>
      <c r="E148" s="3">
        <f t="array" ref="E148">_xlfn.POISSON.DIST(D148,$B$152,FALSE)</f>
        <v>4.2109303359780806E-10</v>
      </c>
      <c r="F148" s="3">
        <f t="array" ref="F148">_xlfn.POISSON.DIST(D148,$B$152,TRUE)</f>
        <v>4.6610320007792906E-10</v>
      </c>
      <c r="G148" s="3">
        <f t="array" ref="G148">_xlfn.BINOM.DIST(D148,$B$146,$B$147,FALSE)</f>
        <v>8.3855087205096689E-16</v>
      </c>
    </row>
    <row r="149" spans="1:7" x14ac:dyDescent="0.25">
      <c r="A149" s="2"/>
      <c r="B149" s="2"/>
      <c r="D149" s="3">
        <v>4</v>
      </c>
      <c r="E149" s="3">
        <f t="array" ref="E149">_xlfn.POISSON.DIST(D149,$B$152,FALSE)</f>
        <v>3.1581977519835657E-9</v>
      </c>
      <c r="F149" s="3">
        <f t="array" ref="F149">_xlfn.POISSON.DIST(D149,$B$152,TRUE)</f>
        <v>3.6243009520614882E-9</v>
      </c>
      <c r="G149" s="3">
        <f t="array" ref="G149">_xlfn.BINOM.DIST(D149,$B$146,$B$147,FALSE)</f>
        <v>1.4779459119898525E-14</v>
      </c>
    </row>
    <row r="150" spans="1:7" x14ac:dyDescent="0.25">
      <c r="A150" s="2" t="s">
        <v>12</v>
      </c>
      <c r="B150" s="2"/>
      <c r="D150" s="3">
        <v>5</v>
      </c>
      <c r="E150" s="3">
        <f t="array" ref="E150">_xlfn.POISSON.DIST(D150,$B$152,FALSE)</f>
        <v>1.8949186511901307E-8</v>
      </c>
      <c r="F150" s="3">
        <f t="array" ref="F150">_xlfn.POISSON.DIST(D150,$B$152,TRUE)</f>
        <v>2.2573487463962842E-8</v>
      </c>
      <c r="G150" s="3">
        <f t="array" ref="G150">_xlfn.BINOM.DIST(D150,$B$146,$B$147,FALSE)</f>
        <v>2.0395653585459816E-13</v>
      </c>
    </row>
    <row r="151" spans="1:7" x14ac:dyDescent="0.25">
      <c r="A151" s="2"/>
      <c r="B151" s="2"/>
      <c r="D151" s="3">
        <v>6</v>
      </c>
      <c r="E151" s="3">
        <f t="array" ref="E151">_xlfn.POISSON.DIST(D151,$B$152,FALSE)</f>
        <v>9.4745932559506632E-8</v>
      </c>
      <c r="F151" s="3">
        <f t="array" ref="F151">_xlfn.POISSON.DIST(D151,$B$152,TRUE)</f>
        <v>1.1731942002346961E-7</v>
      </c>
      <c r="G151" s="3">
        <f t="array" ref="G151">_xlfn.BINOM.DIST(D151,$B$146,$B$147,FALSE)</f>
        <v>2.2945110283642206E-12</v>
      </c>
    </row>
    <row r="152" spans="1:7" x14ac:dyDescent="0.25">
      <c r="A152" s="2" t="s">
        <v>13</v>
      </c>
      <c r="B152" s="2">
        <f t="array" ref="B152">AVERAGE(B146*B147)</f>
        <v>30</v>
      </c>
      <c r="D152" s="3">
        <v>7</v>
      </c>
      <c r="E152" s="3">
        <f t="array" ref="E152">_xlfn.POISSON.DIST(D152,$B$152,FALSE)</f>
        <v>4.0605399668359985E-7</v>
      </c>
      <c r="F152" s="3">
        <f t="array" ref="F152">_xlfn.POISSON.DIST(D152,$B$152,TRUE)</f>
        <v>5.2337341670707003E-7</v>
      </c>
      <c r="G152" s="3">
        <f t="array" ref="G152">_xlfn.BINOM.DIST(D152,$B$146,$B$147,FALSE)</f>
        <v>2.1633961124577119E-11</v>
      </c>
    </row>
    <row r="153" spans="1:7" x14ac:dyDescent="0.25">
      <c r="A153" s="2" t="s">
        <v>14</v>
      </c>
      <c r="B153" s="2">
        <f t="array" ref="B153">B146*B147*(1-B147)</f>
        <v>12</v>
      </c>
      <c r="D153" s="3">
        <v>8</v>
      </c>
      <c r="E153" s="3">
        <f t="array" ref="E153">_xlfn.POISSON.DIST(D153,$B$152,FALSE)</f>
        <v>1.5227024875635025E-6</v>
      </c>
      <c r="F153" s="3">
        <f t="array" ref="F153">_xlfn.POISSON.DIST(D153,$B$152,TRUE)</f>
        <v>2.0460759042705716E-6</v>
      </c>
      <c r="G153" s="3">
        <f t="array" ref="G153">_xlfn.BINOM.DIST(D153,$B$146,$B$147,FALSE)</f>
        <v>1.744238115669023E-10</v>
      </c>
    </row>
    <row r="154" spans="1:7" x14ac:dyDescent="0.25">
      <c r="A154" s="2" t="s">
        <v>15</v>
      </c>
      <c r="B154" s="2">
        <f t="array" ref="B154">SQRT(B153)</f>
        <v>3.4641016151377544</v>
      </c>
      <c r="D154" s="3">
        <v>9</v>
      </c>
      <c r="E154" s="3">
        <f t="array" ref="E154">_xlfn.POISSON.DIST(D154,$B$152,FALSE)</f>
        <v>5.0756749585450093E-6</v>
      </c>
      <c r="F154" s="3">
        <f t="array" ref="F154">_xlfn.POISSON.DIST(D154,$B$152,TRUE)</f>
        <v>7.1217508628155784E-6</v>
      </c>
      <c r="G154" s="3">
        <f t="array" ref="G154">_xlfn.BINOM.DIST(D154,$B$146,$B$147,FALSE)</f>
        <v>1.2209666809683165E-9</v>
      </c>
    </row>
    <row r="155" spans="1:7" x14ac:dyDescent="0.25">
      <c r="D155" s="3">
        <v>10</v>
      </c>
      <c r="E155" s="3">
        <f t="array" ref="E155">_xlfn.POISSON.DIST(D155,$B$152,FALSE)</f>
        <v>1.5227024875635035E-5</v>
      </c>
      <c r="F155" s="3">
        <f t="array" ref="F155">_xlfn.POISSON.DIST(D155,$B$152,TRUE)</f>
        <v>2.2348775738450591E-5</v>
      </c>
      <c r="G155" s="3">
        <f t="array" ref="G155">_xlfn.BINOM.DIST(D155,$B$146,$B$147,FALSE)</f>
        <v>7.5089450879551504E-9</v>
      </c>
    </row>
    <row r="156" spans="1:7" x14ac:dyDescent="0.25">
      <c r="D156" s="3">
        <v>11</v>
      </c>
      <c r="E156" s="3">
        <f t="array" ref="E156">_xlfn.POISSON.DIST(D156,$B$152,FALSE)</f>
        <v>4.1528249660822743E-5</v>
      </c>
      <c r="F156" s="3">
        <f t="array" ref="F156">_xlfn.POISSON.DIST(D156,$B$152,TRUE)</f>
        <v>6.3877025399273381E-5</v>
      </c>
      <c r="G156" s="3">
        <f t="array" ref="G156">_xlfn.BINOM.DIST(D156,$B$146,$B$147,FALSE)</f>
        <v>4.0957882297937133E-8</v>
      </c>
    </row>
    <row r="157" spans="1:7" x14ac:dyDescent="0.25">
      <c r="D157" s="3">
        <v>12</v>
      </c>
      <c r="E157" s="3">
        <f t="array" ref="E157">_xlfn.POISSON.DIST(D157,$B$152,FALSE)</f>
        <v>1.0382062415205684E-4</v>
      </c>
      <c r="F157" s="3">
        <f t="array" ref="F157">_xlfn.POISSON.DIST(D157,$B$152,TRUE)</f>
        <v>1.676976495513303E-4</v>
      </c>
      <c r="G157" s="3">
        <f t="array" ref="G157">_xlfn.BINOM.DIST(D157,$B$146,$B$147,FALSE)</f>
        <v>1.9966967620244384E-7</v>
      </c>
    </row>
    <row r="158" spans="1:7" x14ac:dyDescent="0.25">
      <c r="D158" s="3">
        <v>13</v>
      </c>
      <c r="E158" s="3">
        <f t="array" ref="E158">_xlfn.POISSON.DIST(D158,$B$152,FALSE)</f>
        <v>2.3958605573551602E-4</v>
      </c>
      <c r="F158" s="3">
        <f t="array" ref="F158">_xlfn.POISSON.DIST(D158,$B$152,TRUE)</f>
        <v>4.0728370528684622E-4</v>
      </c>
      <c r="G158" s="3">
        <f t="array" ref="G158">_xlfn.BINOM.DIST(D158,$B$146,$B$147,FALSE)</f>
        <v>8.7547473411840246E-7</v>
      </c>
    </row>
    <row r="159" spans="1:7" x14ac:dyDescent="0.25">
      <c r="D159" s="3">
        <v>14</v>
      </c>
      <c r="E159" s="3">
        <f t="array" ref="E159">_xlfn.POISSON.DIST(D159,$B$152,FALSE)</f>
        <v>5.1339869086181945E-4</v>
      </c>
      <c r="F159" s="3">
        <f t="array" ref="F159">_xlfn.POISSON.DIST(D159,$B$152,TRUE)</f>
        <v>9.206823961486662E-4</v>
      </c>
      <c r="G159" s="3">
        <f t="array" ref="G159">_xlfn.BINOM.DIST(D159,$B$146,$B$147,FALSE)</f>
        <v>3.4706319816836722E-6</v>
      </c>
    </row>
    <row r="160" spans="1:7" x14ac:dyDescent="0.25">
      <c r="D160" s="3">
        <v>15</v>
      </c>
      <c r="E160" s="3">
        <f t="array" ref="E160">_xlfn.POISSON.DIST(D160,$B$152,FALSE)</f>
        <v>1.0267973817236391E-3</v>
      </c>
      <c r="F160" s="3">
        <f t="array" ref="F160">_xlfn.POISSON.DIST(D160,$B$152,TRUE)</f>
        <v>1.9474797778723069E-3</v>
      </c>
      <c r="G160" s="3">
        <f t="array" ref="G160">_xlfn.BINOM.DIST(D160,$B$146,$B$147,FALSE)</f>
        <v>1.2494275134061228E-5</v>
      </c>
    </row>
    <row r="161" spans="4:7" x14ac:dyDescent="0.25">
      <c r="D161" s="3">
        <v>16</v>
      </c>
      <c r="E161" s="3">
        <f t="array" ref="E161">_xlfn.POISSON.DIST(D161,$B$152,FALSE)</f>
        <v>1.9252450907318271E-3</v>
      </c>
      <c r="F161" s="3">
        <f t="array" ref="F161">_xlfn.POISSON.DIST(D161,$B$152,TRUE)</f>
        <v>3.8727248686041332E-3</v>
      </c>
      <c r="G161" s="3">
        <f t="array" ref="G161">_xlfn.BINOM.DIST(D161,$B$146,$B$147,FALSE)</f>
        <v>4.0996840283638554E-5</v>
      </c>
    </row>
    <row r="162" spans="4:7" x14ac:dyDescent="0.25">
      <c r="D162" s="3">
        <v>17</v>
      </c>
      <c r="E162" s="3">
        <f t="array" ref="E162">_xlfn.POISSON.DIST(D162,$B$152,FALSE)</f>
        <v>3.3974913365855718E-3</v>
      </c>
      <c r="F162" s="3">
        <f t="array" ref="F162">_xlfn.POISSON.DIST(D162,$B$152,TRUE)</f>
        <v>7.2702162051897015E-3</v>
      </c>
      <c r="G162" s="3">
        <f t="array" ref="G162">_xlfn.BINOM.DIST(D162,$B$146,$B$147,FALSE)</f>
        <v>1.2299052085091563E-4</v>
      </c>
    </row>
    <row r="163" spans="4:7" x14ac:dyDescent="0.25">
      <c r="D163" s="3">
        <v>18</v>
      </c>
      <c r="E163" s="3">
        <f t="array" ref="E163">_xlfn.POISSON.DIST(D163,$B$152,FALSE)</f>
        <v>5.6624855609759559E-3</v>
      </c>
      <c r="F163" s="3">
        <f t="array" ref="F163">_xlfn.POISSON.DIST(D163,$B$152,TRUE)</f>
        <v>1.2932701766165662E-2</v>
      </c>
      <c r="G163" s="3">
        <f t="array" ref="G163">_xlfn.BINOM.DIST(D163,$B$146,$B$147,FALSE)</f>
        <v>3.3822393234001662E-4</v>
      </c>
    </row>
    <row r="164" spans="4:7" x14ac:dyDescent="0.25">
      <c r="D164" s="3">
        <v>19</v>
      </c>
      <c r="E164" s="3">
        <f t="array" ref="E164">_xlfn.POISSON.DIST(D164,$B$152,FALSE)</f>
        <v>8.9407666752252049E-3</v>
      </c>
      <c r="F164" s="3">
        <f t="array" ref="F164">_xlfn.POISSON.DIST(D164,$B$152,TRUE)</f>
        <v>2.1873468441390851E-2</v>
      </c>
      <c r="G164" s="3">
        <f t="array" ref="G164">_xlfn.BINOM.DIST(D164,$B$146,$B$147,FALSE)</f>
        <v>8.5446046064846428E-4</v>
      </c>
    </row>
    <row r="165" spans="4:7" x14ac:dyDescent="0.25">
      <c r="D165" s="3">
        <v>20</v>
      </c>
      <c r="E165" s="3">
        <f t="array" ref="E165">_xlfn.POISSON.DIST(D165,$B$152,FALSE)</f>
        <v>1.34111500128378E-2</v>
      </c>
      <c r="F165" s="3">
        <f t="array" ref="F165">_xlfn.POISSON.DIST(D165,$B$152,TRUE)</f>
        <v>3.5284618454228651E-2</v>
      </c>
      <c r="G165" s="3">
        <f t="array" ref="G165">_xlfn.BINOM.DIST(D165,$B$146,$B$147,FALSE)</f>
        <v>1.986620571007684E-3</v>
      </c>
    </row>
    <row r="166" spans="4:7" x14ac:dyDescent="0.25">
      <c r="D166" s="3">
        <v>21</v>
      </c>
      <c r="E166" s="3">
        <f t="array" ref="E166">_xlfn.POISSON.DIST(D166,$B$152,FALSE)</f>
        <v>1.9158785732625416E-2</v>
      </c>
      <c r="F166" s="3">
        <f t="array" ref="F166">_xlfn.POISSON.DIST(D166,$B$152,TRUE)</f>
        <v>5.4443404186854061E-2</v>
      </c>
      <c r="G166" s="3">
        <f t="array" ref="G166">_xlfn.BINOM.DIST(D166,$B$146,$B$147,FALSE)</f>
        <v>4.2570440807307413E-3</v>
      </c>
    </row>
    <row r="167" spans="4:7" x14ac:dyDescent="0.25">
      <c r="D167" s="3">
        <v>22</v>
      </c>
      <c r="E167" s="3">
        <f t="array" ref="E167">_xlfn.POISSON.DIST(D167,$B$152,FALSE)</f>
        <v>2.6125616908125565E-2</v>
      </c>
      <c r="F167" s="3">
        <f t="array" ref="F167">_xlfn.POISSON.DIST(D167,$B$152,TRUE)</f>
        <v>8.0569021094979654E-2</v>
      </c>
      <c r="G167" s="3">
        <f t="array" ref="G167">_xlfn.BINOM.DIST(D167,$B$146,$B$147,FALSE)</f>
        <v>8.4173371596267012E-3</v>
      </c>
    </row>
    <row r="168" spans="4:7" x14ac:dyDescent="0.25">
      <c r="D168" s="3">
        <v>23</v>
      </c>
      <c r="E168" s="3">
        <f t="array" ref="E168">_xlfn.POISSON.DIST(D168,$B$152,FALSE)</f>
        <v>3.4076891619294218E-2</v>
      </c>
      <c r="F168" s="3">
        <f t="array" ref="F168">_xlfn.POISSON.DIST(D168,$B$152,TRUE)</f>
        <v>0.1146459127142738</v>
      </c>
      <c r="G168" s="3">
        <f t="array" ref="G168">_xlfn.BINOM.DIST(D168,$B$146,$B$147,FALSE)</f>
        <v>1.5370789595840064E-2</v>
      </c>
    </row>
    <row r="169" spans="4:7" x14ac:dyDescent="0.25">
      <c r="D169" s="3">
        <v>24</v>
      </c>
      <c r="E169" s="3">
        <f t="array" ref="E169">_xlfn.POISSON.DIST(D169,$B$152,FALSE)</f>
        <v>4.2596114524117774E-2</v>
      </c>
      <c r="F169" s="3">
        <f t="array" ref="F169">_xlfn.POISSON.DIST(D169,$B$152,TRUE)</f>
        <v>0.15724202723839154</v>
      </c>
      <c r="G169" s="3">
        <f t="array" ref="G169">_xlfn.BINOM.DIST(D169,$B$146,$B$147,FALSE)</f>
        <v>2.5938207442980088E-2</v>
      </c>
    </row>
    <row r="170" spans="4:7" x14ac:dyDescent="0.25">
      <c r="D170" s="3">
        <v>25</v>
      </c>
      <c r="E170" s="3">
        <f t="array" ref="E170">_xlfn.POISSON.DIST(D170,$B$152,FALSE)</f>
        <v>5.1115337428941282E-2</v>
      </c>
      <c r="F170" s="3">
        <f t="array" ref="F170">_xlfn.POISSON.DIST(D170,$B$152,TRUE)</f>
        <v>0.20835736466733284</v>
      </c>
      <c r="G170" s="3">
        <f t="array" ref="G170">_xlfn.BINOM.DIST(D170,$B$146,$B$147,FALSE)</f>
        <v>4.0463603611048948E-2</v>
      </c>
    </row>
    <row r="171" spans="4:7" x14ac:dyDescent="0.25">
      <c r="D171" s="3">
        <v>26</v>
      </c>
      <c r="E171" s="3">
        <f t="array" ref="E171">_xlfn.POISSON.DIST(D171,$B$152,FALSE)</f>
        <v>5.8979235494932301E-2</v>
      </c>
      <c r="F171" s="3">
        <f t="array" ref="F171">_xlfn.POISSON.DIST(D171,$B$152,TRUE)</f>
        <v>0.26733660016226524</v>
      </c>
      <c r="G171" s="3">
        <f t="array" ref="G171">_xlfn.BINOM.DIST(D171,$B$146,$B$147,FALSE)</f>
        <v>5.8360966746705253E-2</v>
      </c>
    </row>
    <row r="172" spans="4:7" x14ac:dyDescent="0.25">
      <c r="D172" s="3">
        <v>27</v>
      </c>
      <c r="E172" s="3">
        <f t="array" ref="E172">_xlfn.POISSON.DIST(D172,$B$152,FALSE)</f>
        <v>6.5532483883258094E-2</v>
      </c>
      <c r="F172" s="3">
        <f t="array" ref="F172">_xlfn.POISSON.DIST(D172,$B$152,TRUE)</f>
        <v>0.33286908404552334</v>
      </c>
      <c r="G172" s="3">
        <f t="array" ref="G172">_xlfn.BINOM.DIST(D172,$B$146,$B$147,FALSE)</f>
        <v>7.7814622328940292E-2</v>
      </c>
    </row>
    <row r="173" spans="4:7" x14ac:dyDescent="0.25">
      <c r="D173" s="3">
        <v>28</v>
      </c>
      <c r="E173" s="3">
        <f t="array" ref="E173">_xlfn.POISSON.DIST(D173,$B$152,FALSE)</f>
        <v>7.0213375589205124E-2</v>
      </c>
      <c r="F173" s="3">
        <f t="array" ref="F173">_xlfn.POISSON.DIST(D173,$B$152,TRUE)</f>
        <v>0.40308245963472844</v>
      </c>
      <c r="G173" s="3">
        <f t="array" ref="G173">_xlfn.BINOM.DIST(D173,$B$146,$B$147,FALSE)</f>
        <v>9.5878731083872876E-2</v>
      </c>
    </row>
    <row r="174" spans="4:7" x14ac:dyDescent="0.25">
      <c r="D174" s="3">
        <v>29</v>
      </c>
      <c r="E174" s="3">
        <f t="array" ref="E174">_xlfn.POISSON.DIST(D174,$B$152,FALSE)</f>
        <v>7.2634526471591493E-2</v>
      </c>
      <c r="F174" s="3">
        <f t="array" ref="F174">_xlfn.POISSON.DIST(D174,$B$152,TRUE)</f>
        <v>0.47571698610631996</v>
      </c>
      <c r="G174" s="3">
        <f t="array" ref="G174">_xlfn.BINOM.DIST(D174,$B$146,$B$147,FALSE)</f>
        <v>0.10910338364716567</v>
      </c>
    </row>
    <row r="175" spans="4:7" x14ac:dyDescent="0.25">
      <c r="D175" s="3">
        <v>30</v>
      </c>
      <c r="E175" s="3">
        <f t="array" ref="E175">_xlfn.POISSON.DIST(D175,$B$152,FALSE)</f>
        <v>7.2634526471591507E-2</v>
      </c>
      <c r="F175" s="3">
        <f t="array" ref="F175">_xlfn.POISSON.DIST(D175,$B$152,TRUE)</f>
        <v>0.54835151257791148</v>
      </c>
      <c r="G175" s="3">
        <f t="array" ref="G175">_xlfn.BINOM.DIST(D175,$B$146,$B$147,FALSE)</f>
        <v>0.11455855282952399</v>
      </c>
    </row>
    <row r="176" spans="4:7" x14ac:dyDescent="0.25">
      <c r="D176" s="3">
        <v>31</v>
      </c>
      <c r="E176" s="3">
        <f t="array" ref="E176">_xlfn.POISSON.DIST(D176,$B$152,FALSE)</f>
        <v>7.0291477230572413E-2</v>
      </c>
      <c r="F176" s="3">
        <f t="array" ref="F176">_xlfn.POISSON.DIST(D176,$B$152,TRUE)</f>
        <v>0.61864298980848387</v>
      </c>
      <c r="G176" s="3">
        <f t="array" ref="G176">_xlfn.BINOM.DIST(D176,$B$146,$B$147,FALSE)</f>
        <v>0.11086311564147482</v>
      </c>
    </row>
    <row r="177" spans="4:7" x14ac:dyDescent="0.25">
      <c r="D177" s="3">
        <v>32</v>
      </c>
      <c r="E177" s="3">
        <f t="array" ref="E177">_xlfn.POISSON.DIST(D177,$B$152,FALSE)</f>
        <v>6.589825990366166E-2</v>
      </c>
      <c r="F177" s="3">
        <f t="array" ref="F177">_xlfn.POISSON.DIST(D177,$B$152,TRUE)</f>
        <v>0.68454124971214558</v>
      </c>
      <c r="G177" s="3">
        <f t="array" ref="G177">_xlfn.BINOM.DIST(D177,$B$146,$B$147,FALSE)</f>
        <v>9.8737462368188561E-2</v>
      </c>
    </row>
    <row r="178" spans="4:7" x14ac:dyDescent="0.25">
      <c r="D178" s="3">
        <v>33</v>
      </c>
      <c r="E178" s="3">
        <f t="array" ref="E178">_xlfn.POISSON.DIST(D178,$B$152,FALSE)</f>
        <v>5.9907509003328779E-2</v>
      </c>
      <c r="F178" s="3">
        <f t="array" ref="F178">_xlfn.POISSON.DIST(D178,$B$152,TRUE)</f>
        <v>0.74444875871547422</v>
      </c>
      <c r="G178" s="3">
        <f t="array" ref="G178">_xlfn.BINOM.DIST(D178,$B$146,$B$147,FALSE)</f>
        <v>8.0785196483063329E-2</v>
      </c>
    </row>
    <row r="179" spans="4:7" x14ac:dyDescent="0.25">
      <c r="D179" s="3">
        <v>34</v>
      </c>
      <c r="E179" s="3">
        <f t="array" ref="E179">_xlfn.POISSON.DIST(D179,$B$152,FALSE)</f>
        <v>5.2859566767643008E-2</v>
      </c>
      <c r="F179" s="3">
        <f t="array" ref="F179">_xlfn.POISSON.DIST(D179,$B$152,TRUE)</f>
        <v>0.79730832548311725</v>
      </c>
      <c r="G179" s="3">
        <f t="array" ref="G179">_xlfn.BINOM.DIST(D179,$B$146,$B$147,FALSE)</f>
        <v>6.0588897362297466E-2</v>
      </c>
    </row>
    <row r="180" spans="4:7" x14ac:dyDescent="0.25">
      <c r="D180" s="3">
        <v>35</v>
      </c>
      <c r="E180" s="3">
        <f t="array" ref="E180">_xlfn.POISSON.DIST(D180,$B$152,FALSE)</f>
        <v>4.5308200086551176E-2</v>
      </c>
      <c r="F180" s="3">
        <f t="array" ref="F180">_xlfn.POISSON.DIST(D180,$B$152,TRUE)</f>
        <v>0.84261652556966848</v>
      </c>
      <c r="G180" s="3">
        <f t="array" ref="G180">_xlfn.BINOM.DIST(D180,$B$146,$B$147,FALSE)</f>
        <v>4.1546672477004012E-2</v>
      </c>
    </row>
    <row r="181" spans="4:7" x14ac:dyDescent="0.25">
      <c r="D181" s="3">
        <v>36</v>
      </c>
      <c r="E181" s="3">
        <f t="array" ref="E181">_xlfn.POISSON.DIST(D181,$B$152,FALSE)</f>
        <v>3.7756833405459315E-2</v>
      </c>
      <c r="F181" s="3">
        <f t="array" ref="F181">_xlfn.POISSON.DIST(D181,$B$152,TRUE)</f>
        <v>0.8803733589751277</v>
      </c>
      <c r="G181" s="3">
        <f t="array" ref="G181">_xlfn.BINOM.DIST(D181,$B$146,$B$147,FALSE)</f>
        <v>2.596667029812751E-2</v>
      </c>
    </row>
    <row r="182" spans="4:7" x14ac:dyDescent="0.25">
      <c r="D182" s="3">
        <v>37</v>
      </c>
      <c r="E182" s="3">
        <f t="array" ref="E182">_xlfn.POISSON.DIST(D182,$B$152,FALSE)</f>
        <v>3.0613648707129171E-2</v>
      </c>
      <c r="F182" s="3">
        <f t="array" ref="F182">_xlfn.POISSON.DIST(D182,$B$152,TRUE)</f>
        <v>0.91098700768225682</v>
      </c>
      <c r="G182" s="3">
        <f t="array" ref="G182">_xlfn.BINOM.DIST(D182,$B$146,$B$147,FALSE)</f>
        <v>1.4737839898937226E-2</v>
      </c>
    </row>
    <row r="183" spans="4:7" x14ac:dyDescent="0.25">
      <c r="D183" s="3">
        <v>38</v>
      </c>
      <c r="E183" s="3">
        <f t="array" ref="E183">_xlfn.POISSON.DIST(D183,$B$152,FALSE)</f>
        <v>2.4168670031944072E-2</v>
      </c>
      <c r="F183" s="3">
        <f t="array" ref="F183">_xlfn.POISSON.DIST(D183,$B$152,TRUE)</f>
        <v>0.93515567771420094</v>
      </c>
      <c r="G183" s="3">
        <f t="array" ref="G183">_xlfn.BINOM.DIST(D183,$B$146,$B$147,FALSE)</f>
        <v>7.5628388955072626E-3</v>
      </c>
    </row>
    <row r="184" spans="4:7" x14ac:dyDescent="0.25">
      <c r="D184" s="3">
        <v>39</v>
      </c>
      <c r="E184" s="3">
        <f t="array" ref="E184">_xlfn.POISSON.DIST(D184,$B$152,FALSE)</f>
        <v>1.8591284639956965E-2</v>
      </c>
      <c r="F184" s="3">
        <f t="array" ref="F184">_xlfn.POISSON.DIST(D184,$B$152,TRUE)</f>
        <v>0.9537469623541579</v>
      </c>
      <c r="G184" s="3">
        <f t="array" ref="G184">_xlfn.BINOM.DIST(D184,$B$146,$B$147,FALSE)</f>
        <v>3.4905410286956537E-3</v>
      </c>
    </row>
    <row r="185" spans="4:7" x14ac:dyDescent="0.25">
      <c r="D185" s="3">
        <v>40</v>
      </c>
      <c r="E185" s="3">
        <f t="array" ref="E185">_xlfn.POISSON.DIST(D185,$B$152,FALSE)</f>
        <v>1.3943463479967748E-2</v>
      </c>
      <c r="F185" s="3">
        <f t="array" ref="F185">_xlfn.POISSON.DIST(D185,$B$152,TRUE)</f>
        <v>0.96769042583412568</v>
      </c>
      <c r="G185" s="3">
        <f t="array" ref="G185">_xlfn.BINOM.DIST(D185,$B$146,$B$147,FALSE)</f>
        <v>1.4398481743369603E-3</v>
      </c>
    </row>
    <row r="186" spans="4:7" x14ac:dyDescent="0.25">
      <c r="D186" s="3">
        <v>41</v>
      </c>
      <c r="E186" s="3">
        <f t="array" ref="E186">_xlfn.POISSON.DIST(D186,$B$152,FALSE)</f>
        <v>1.0202534253634935E-2</v>
      </c>
      <c r="F186" s="3">
        <f t="array" ref="F186">_xlfn.POISSON.DIST(D186,$B$152,TRUE)</f>
        <v>0.97789296008776061</v>
      </c>
      <c r="G186" s="3">
        <f t="array" ref="G186">_xlfn.BINOM.DIST(D186,$B$146,$B$147,FALSE)</f>
        <v>5.2677372231839988E-4</v>
      </c>
    </row>
    <row r="187" spans="4:7" x14ac:dyDescent="0.25">
      <c r="D187" s="3">
        <v>42</v>
      </c>
      <c r="E187" s="3">
        <f t="array" ref="E187">_xlfn.POISSON.DIST(D187,$B$152,FALSE)</f>
        <v>7.2875244668820999E-3</v>
      </c>
      <c r="F187" s="3">
        <f t="array" ref="F187">_xlfn.POISSON.DIST(D187,$B$152,TRUE)</f>
        <v>0.98518048455464269</v>
      </c>
      <c r="G187" s="3">
        <f t="array" ref="G187">_xlfn.BINOM.DIST(D187,$B$146,$B$147,FALSE)</f>
        <v>1.6932012503091434E-4</v>
      </c>
    </row>
    <row r="188" spans="4:7" x14ac:dyDescent="0.25">
      <c r="D188" s="3">
        <v>43</v>
      </c>
      <c r="E188" s="3">
        <f t="array" ref="E188">_xlfn.POISSON.DIST(D188,$B$152,FALSE)</f>
        <v>5.084319395499139E-3</v>
      </c>
      <c r="F188" s="3">
        <f t="array" ref="F188">_xlfn.POISSON.DIST(D188,$B$152,TRUE)</f>
        <v>0.99026480395014183</v>
      </c>
      <c r="G188" s="3">
        <f t="array" ref="G188">_xlfn.BINOM.DIST(D188,$B$146,$B$147,FALSE)</f>
        <v>4.7252127915604095E-5</v>
      </c>
    </row>
    <row r="189" spans="4:7" x14ac:dyDescent="0.25">
      <c r="D189" s="3">
        <v>44</v>
      </c>
      <c r="E189" s="3">
        <f t="array" ref="E189">_xlfn.POISSON.DIST(D189,$B$152,FALSE)</f>
        <v>3.4665814060221363E-3</v>
      </c>
      <c r="F189" s="3">
        <f t="array" ref="F189">_xlfn.POISSON.DIST(D189,$B$152,TRUE)</f>
        <v>0.99373138535616401</v>
      </c>
      <c r="G189" s="3">
        <f t="array" ref="G189">_xlfn.BINOM.DIST(D189,$B$146,$B$147,FALSE)</f>
        <v>1.1276075979860058E-5</v>
      </c>
    </row>
    <row r="190" spans="4:7" x14ac:dyDescent="0.25">
      <c r="D190" s="3">
        <v>45</v>
      </c>
      <c r="E190" s="3">
        <f t="array" ref="E190">_xlfn.POISSON.DIST(D190,$B$152,FALSE)</f>
        <v>2.3110542706814285E-3</v>
      </c>
      <c r="F190" s="3">
        <f t="array" ref="F190">_xlfn.POISSON.DIST(D190,$B$152,TRUE)</f>
        <v>0.99604243962684547</v>
      </c>
      <c r="G190" s="3">
        <f t="array" ref="G190">_xlfn.BINOM.DIST(D190,$B$146,$B$147,FALSE)</f>
        <v>2.2552151959720124E-6</v>
      </c>
    </row>
    <row r="191" spans="4:7" x14ac:dyDescent="0.25">
      <c r="D191" s="3">
        <v>46</v>
      </c>
      <c r="E191" s="3">
        <f t="array" ref="E191">_xlfn.POISSON.DIST(D191,$B$152,FALSE)</f>
        <v>1.5072093069661463E-3</v>
      </c>
      <c r="F191" s="3">
        <f t="array" ref="F191">_xlfn.POISSON.DIST(D191,$B$152,TRUE)</f>
        <v>0.99754964893381159</v>
      </c>
      <c r="G191" s="3">
        <f t="array" ref="G191">_xlfn.BINOM.DIST(D191,$B$146,$B$147,FALSE)</f>
        <v>3.6769812977804516E-7</v>
      </c>
    </row>
    <row r="192" spans="4:7" x14ac:dyDescent="0.25">
      <c r="D192" s="3">
        <v>47</v>
      </c>
      <c r="E192" s="3">
        <f t="array" ref="E192">_xlfn.POISSON.DIST(D192,$B$152,FALSE)</f>
        <v>9.6204849380817834E-4</v>
      </c>
      <c r="F192" s="3">
        <f t="array" ref="F192">_xlfn.POISSON.DIST(D192,$B$152,TRUE)</f>
        <v>0.9985116974276198</v>
      </c>
      <c r="G192" s="3">
        <f t="array" ref="G192">_xlfn.BINOM.DIST(D192,$B$146,$B$147,FALSE)</f>
        <v>4.6940186780175838E-8</v>
      </c>
    </row>
    <row r="193" spans="1:7" x14ac:dyDescent="0.25">
      <c r="D193" s="3">
        <v>48</v>
      </c>
      <c r="E193" s="3">
        <f t="array" ref="E193">_xlfn.POISSON.DIST(D193,$B$152,FALSE)</f>
        <v>6.0128030863011012E-4</v>
      </c>
      <c r="F193" s="3">
        <f t="array" ref="F193">_xlfn.POISSON.DIST(D193,$B$152,TRUE)</f>
        <v>0.99911297773624985</v>
      </c>
      <c r="G193" s="3">
        <f t="array" ref="G193">_xlfn.BINOM.DIST(D193,$B$146,$B$147,FALSE)</f>
        <v>4.4006425106414753E-9</v>
      </c>
    </row>
    <row r="194" spans="1:7" x14ac:dyDescent="0.25">
      <c r="D194" s="3">
        <v>49</v>
      </c>
      <c r="E194" s="3">
        <f t="array" ref="E194">_xlfn.POISSON.DIST(D194,$B$152,FALSE)</f>
        <v>3.6813080120210871E-4</v>
      </c>
      <c r="F194" s="3">
        <f t="array" ref="F194">_xlfn.POISSON.DIST(D194,$B$152,TRUE)</f>
        <v>0.99948110853745198</v>
      </c>
      <c r="G194" s="3">
        <f t="array" ref="G194">_xlfn.BINOM.DIST(D194,$B$146,$B$147,FALSE)</f>
        <v>2.6942709248825439E-10</v>
      </c>
    </row>
    <row r="195" spans="1:7" x14ac:dyDescent="0.25">
      <c r="D195" s="3">
        <v>50</v>
      </c>
      <c r="E195" s="3">
        <f t="array" ref="E195">_xlfn.POISSON.DIST(D195,$B$152,FALSE)</f>
        <v>2.2087848072126524E-4</v>
      </c>
      <c r="F195" s="3">
        <f t="array" ref="F195">_xlfn.POISSON.DIST(D195,$B$152,TRUE)</f>
        <v>0.99970198701817325</v>
      </c>
      <c r="G195" s="3">
        <f t="array" ref="G195">_xlfn.BINOM.DIST(D195,$B$146,$B$147,FALSE)</f>
        <v>8.0828127746476279E-12</v>
      </c>
    </row>
    <row r="198" spans="1:7" x14ac:dyDescent="0.25">
      <c r="A198" s="2" t="s">
        <v>24</v>
      </c>
    </row>
    <row r="199" spans="1:7" x14ac:dyDescent="0.25">
      <c r="D199" s="3" t="s">
        <v>20</v>
      </c>
      <c r="E199" s="3" t="s">
        <v>3</v>
      </c>
      <c r="F199" s="3" t="s">
        <v>4</v>
      </c>
      <c r="G199" s="3" t="s">
        <v>22</v>
      </c>
    </row>
    <row r="200" spans="1:7" x14ac:dyDescent="0.25">
      <c r="A200" s="2" t="s">
        <v>5</v>
      </c>
      <c r="D200" s="3" t="s">
        <v>6</v>
      </c>
      <c r="E200" s="3" t="s">
        <v>7</v>
      </c>
      <c r="F200" s="3" t="s">
        <v>8</v>
      </c>
      <c r="G200" s="3" t="s">
        <v>23</v>
      </c>
    </row>
    <row r="201" spans="1:7" x14ac:dyDescent="0.25">
      <c r="A201" s="2"/>
      <c r="D201" s="3">
        <v>0</v>
      </c>
      <c r="E201" s="3">
        <f t="array" ref="E201">_xlfn.POISSON.DIST(D201,$B$208,FALSE)</f>
        <v>7.0954741622847037E-23</v>
      </c>
      <c r="F201" s="3">
        <f>_xlfn.POISSON.DIST(D201,$B$208,TRUE)</f>
        <v>7.0954741622847037E-23</v>
      </c>
      <c r="G201" s="3">
        <f t="array" ref="G201">_xlfn.BINOM.DIST(D201,$B$202,$B$203,FALSE)</f>
        <v>1.0461838291314289E-31</v>
      </c>
    </row>
    <row r="202" spans="1:7" x14ac:dyDescent="0.25">
      <c r="A202" s="2" t="s">
        <v>9</v>
      </c>
      <c r="B202" s="2">
        <v>100</v>
      </c>
      <c r="D202" s="3">
        <v>1</v>
      </c>
      <c r="E202" s="3">
        <f t="array" ref="E202">_xlfn.POISSON.DIST(D202,$B$208,FALSE)</f>
        <v>3.6186918227651994E-21</v>
      </c>
      <c r="F202" s="3">
        <f t="array" ref="F202">_xlfn.POISSON.DIST(D202,$B$208,TRUE)</f>
        <v>3.6896465643880242E-21</v>
      </c>
      <c r="G202" s="3">
        <f t="array" ref="G202">_xlfn.BINOM.DIST(D202,$B$202,$B$203,FALSE)</f>
        <v>1.0888852099123243E-29</v>
      </c>
    </row>
    <row r="203" spans="1:7" x14ac:dyDescent="0.25">
      <c r="A203" s="2" t="s">
        <v>10</v>
      </c>
      <c r="B203" s="2">
        <v>0.51</v>
      </c>
      <c r="D203" s="3">
        <v>2</v>
      </c>
      <c r="E203" s="3">
        <f t="array" ref="E203">_xlfn.POISSON.DIST(D203,$B$208,FALSE)</f>
        <v>9.2276641480512032E-20</v>
      </c>
      <c r="F203" s="3">
        <f t="array" ref="F203">_xlfn.POISSON.DIST(D203,$B$208,TRUE)</f>
        <v>9.5966288044900813E-20</v>
      </c>
      <c r="G203" s="3">
        <f t="array" ref="G203">_xlfn.BINOM.DIST(D203,$B$202,$B$203,FALSE)</f>
        <v>5.6099810457624993E-28</v>
      </c>
    </row>
    <row r="204" spans="1:7" x14ac:dyDescent="0.25">
      <c r="A204" s="2" t="s">
        <v>11</v>
      </c>
      <c r="B204" s="2">
        <f t="array" ref="B204">(1-B203)</f>
        <v>0.49</v>
      </c>
      <c r="D204" s="3">
        <v>3</v>
      </c>
      <c r="E204" s="3">
        <f t="array" ref="E204">_xlfn.POISSON.DIST(D204,$B$208,FALSE)</f>
        <v>1.5687029051687168E-18</v>
      </c>
      <c r="F204" s="3">
        <f t="array" ref="F204">_xlfn.POISSON.DIST(D204,$B$208,TRUE)</f>
        <v>1.6646691932136169E-18</v>
      </c>
      <c r="G204" s="3">
        <f t="array" ref="G204">_xlfn.BINOM.DIST(D204,$B$202,$B$203,FALSE)</f>
        <v>1.9073935555592559E-26</v>
      </c>
    </row>
    <row r="205" spans="1:7" x14ac:dyDescent="0.25">
      <c r="A205" s="2"/>
      <c r="D205" s="3">
        <v>4</v>
      </c>
      <c r="E205" s="3">
        <f t="array" ref="E205">_xlfn.POISSON.DIST(D205,$B$208,FALSE)</f>
        <v>2.0000962040901132E-17</v>
      </c>
      <c r="F205" s="3">
        <f t="array" ref="F205">_xlfn.POISSON.DIST(D205,$B$208,TRUE)</f>
        <v>2.1665631234114828E-17</v>
      </c>
      <c r="G205" s="3">
        <f t="array" ref="G205">_xlfn.BINOM.DIST(D205,$B$202,$B$203,FALSE)</f>
        <v>4.814222407832484E-25</v>
      </c>
    </row>
    <row r="206" spans="1:7" x14ac:dyDescent="0.25">
      <c r="A206" s="2" t="s">
        <v>12</v>
      </c>
      <c r="D206" s="3">
        <v>5</v>
      </c>
      <c r="E206" s="3">
        <f t="array" ref="E206">_xlfn.POISSON.DIST(D206,$B$208,FALSE)</f>
        <v>2.0400981281719239E-16</v>
      </c>
      <c r="F206" s="3">
        <f t="array" ref="F206">_xlfn.POISSON.DIST(D206,$B$208,TRUE)</f>
        <v>2.2567544405130536E-16</v>
      </c>
      <c r="G206" s="3">
        <f t="array" ref="G206">_xlfn.BINOM.DIST(D206,$B$202,$B$203,FALSE)</f>
        <v>9.6205848607133608E-24</v>
      </c>
    </row>
    <row r="207" spans="1:7" x14ac:dyDescent="0.25">
      <c r="A207" s="2"/>
      <c r="D207" s="3">
        <v>6</v>
      </c>
      <c r="E207" s="3">
        <f t="array" ref="E207">_xlfn.POISSON.DIST(D207,$B$208,FALSE)</f>
        <v>1.7340834089461216E-15</v>
      </c>
      <c r="F207" s="3">
        <f t="array" ref="F207">_xlfn.POISSON.DIST(D207,$B$208,TRUE)</f>
        <v>1.9597588529974276E-15</v>
      </c>
      <c r="G207" s="3">
        <f t="array" ref="G207">_xlfn.BINOM.DIST(D207,$B$202,$B$203,FALSE)</f>
        <v>1.5854331173522593E-22</v>
      </c>
    </row>
    <row r="208" spans="1:7" x14ac:dyDescent="0.25">
      <c r="A208" s="2" t="s">
        <v>13</v>
      </c>
      <c r="B208" s="2">
        <f>AVERAGE(B202*B203)</f>
        <v>51</v>
      </c>
      <c r="D208" s="3">
        <v>7</v>
      </c>
      <c r="E208" s="3">
        <f t="array" ref="E208">_xlfn.POISSON.DIST(D208,$B$208,FALSE)</f>
        <v>1.2634036265178884E-14</v>
      </c>
      <c r="F208" s="3">
        <f t="array" ref="F208">_xlfn.POISSON.DIST(D208,$B$208,TRUE)</f>
        <v>1.4593795118176374E-14</v>
      </c>
      <c r="G208" s="3">
        <f t="array" ref="G208">_xlfn.BINOM.DIST(D208,$B$202,$B$203,FALSE)</f>
        <v>2.2159085611039773E-21</v>
      </c>
    </row>
    <row r="209" spans="1:7" x14ac:dyDescent="0.25">
      <c r="A209" s="2" t="s">
        <v>14</v>
      </c>
      <c r="B209" s="2">
        <f t="array" ref="B209">B202*B203*(1-B203)</f>
        <v>24.99</v>
      </c>
      <c r="D209" s="3">
        <v>8</v>
      </c>
      <c r="E209" s="3">
        <f t="array" ref="E209">_xlfn.POISSON.DIST(D209,$B$208,FALSE)</f>
        <v>8.0541981190515683E-14</v>
      </c>
      <c r="F209" s="3">
        <f t="array" ref="F209">_xlfn.POISSON.DIST(D209,$B$208,TRUE)</f>
        <v>9.5135776308692016E-14</v>
      </c>
      <c r="G209" s="3">
        <f t="array" ref="G209">_xlfn.BINOM.DIST(D209,$B$202,$B$203,FALSE)</f>
        <v>2.6811363023765779E-20</v>
      </c>
    </row>
    <row r="210" spans="1:7" x14ac:dyDescent="0.25">
      <c r="A210" s="2" t="s">
        <v>15</v>
      </c>
      <c r="B210" s="2">
        <f t="array" ref="B210">SQRT(B209)</f>
        <v>4.9989998999799949</v>
      </c>
      <c r="D210" s="3">
        <v>9</v>
      </c>
      <c r="E210" s="3">
        <f t="array" ref="E210">_xlfn.POISSON.DIST(D210,$B$208,FALSE)</f>
        <v>4.5640456007958881E-13</v>
      </c>
      <c r="F210" s="3">
        <f t="array" ref="F210">_xlfn.POISSON.DIST(D210,$B$208,TRUE)</f>
        <v>5.5154033638828116E-13</v>
      </c>
      <c r="G210" s="3">
        <f t="array" ref="G210">_xlfn.BINOM.DIST(D210,$B$202,$B$203,FALSE)</f>
        <v>2.8525831135489639E-19</v>
      </c>
    </row>
    <row r="211" spans="1:7" x14ac:dyDescent="0.25">
      <c r="D211" s="3">
        <v>10</v>
      </c>
      <c r="E211" s="3">
        <f t="array" ref="E211">_xlfn.POISSON.DIST(D211,$B$208,FALSE)</f>
        <v>2.327663256405904E-12</v>
      </c>
      <c r="F211" s="3">
        <f t="array" ref="F211">_xlfn.POISSON.DIST(D211,$B$208,TRUE)</f>
        <v>2.8792035927941863E-12</v>
      </c>
      <c r="G211" s="3">
        <f t="array" ref="G211">_xlfn.BINOM.DIST(D211,$B$202,$B$203,FALSE)</f>
        <v>2.7018037204042452E-18</v>
      </c>
    </row>
    <row r="212" spans="1:7" x14ac:dyDescent="0.25">
      <c r="D212" s="3">
        <v>11</v>
      </c>
      <c r="E212" s="3">
        <f t="array" ref="E212">_xlfn.POISSON.DIST(D212,$B$208,FALSE)</f>
        <v>1.0791893279700109E-11</v>
      </c>
      <c r="F212" s="3">
        <f t="array" ref="F212">_xlfn.POISSON.DIST(D212,$B$208,TRUE)</f>
        <v>1.3671096872494223E-11</v>
      </c>
      <c r="G212" s="3">
        <f t="array" ref="G212">_xlfn.BINOM.DIST(D212,$B$202,$B$203,FALSE)</f>
        <v>2.3007938917728035E-17</v>
      </c>
    </row>
    <row r="213" spans="1:7" x14ac:dyDescent="0.25">
      <c r="D213" s="3">
        <v>12</v>
      </c>
      <c r="E213" s="3">
        <f t="array" ref="E213">_xlfn.POISSON.DIST(D213,$B$208,FALSE)</f>
        <v>4.5865546438725242E-11</v>
      </c>
      <c r="F213" s="3">
        <f t="array" ref="F213">_xlfn.POISSON.DIST(D213,$B$208,TRUE)</f>
        <v>5.9536643311219897E-11</v>
      </c>
      <c r="G213" s="3">
        <f t="array" ref="G213">_xlfn.BINOM.DIST(D213,$B$202,$B$203,FALSE)</f>
        <v>1.77607201951646E-16</v>
      </c>
    </row>
    <row r="214" spans="1:7" x14ac:dyDescent="0.25">
      <c r="D214" s="3">
        <v>13</v>
      </c>
      <c r="E214" s="3">
        <f t="array" ref="E214">_xlfn.POISSON.DIST(D214,$B$208,FALSE)</f>
        <v>1.7993406679807722E-10</v>
      </c>
      <c r="F214" s="3">
        <f t="array" ref="F214">_xlfn.POISSON.DIST(D214,$B$208,TRUE)</f>
        <v>2.3947071010929595E-10</v>
      </c>
      <c r="G214" s="3">
        <f t="array" ref="G214">_xlfn.BINOM.DIST(D214,$B$202,$B$203,FALSE)</f>
        <v>1.2513361418508511E-15</v>
      </c>
    </row>
    <row r="215" spans="1:7" x14ac:dyDescent="0.25">
      <c r="D215" s="3">
        <v>14</v>
      </c>
      <c r="E215" s="3">
        <f t="array" ref="E215">_xlfn.POISSON.DIST(D215,$B$208,FALSE)</f>
        <v>6.5547410047870656E-10</v>
      </c>
      <c r="F215" s="3">
        <f t="array" ref="F215">_xlfn.POISSON.DIST(D215,$B$208,TRUE)</f>
        <v>8.9494481058800127E-10</v>
      </c>
      <c r="G215" s="3">
        <f t="array" ref="G215">_xlfn.BINOM.DIST(D215,$B$202,$B$203,FALSE)</f>
        <v>8.0935546084434093E-15</v>
      </c>
    </row>
    <row r="216" spans="1:7" x14ac:dyDescent="0.25">
      <c r="D216" s="3">
        <v>15</v>
      </c>
      <c r="E216" s="3">
        <f t="array" ref="E216">_xlfn.POISSON.DIST(D216,$B$208,FALSE)</f>
        <v>2.2286119416275988E-9</v>
      </c>
      <c r="F216" s="3">
        <f t="array" ref="F216">_xlfn.POISSON.DIST(D216,$B$208,TRUE)</f>
        <v>3.1235567522156117E-9</v>
      </c>
      <c r="G216" s="3">
        <f t="array" ref="G216">_xlfn.BINOM.DIST(D216,$B$202,$B$203,FALSE)</f>
        <v>4.8297048316507594E-14</v>
      </c>
    </row>
    <row r="217" spans="1:7" x14ac:dyDescent="0.25">
      <c r="D217" s="3">
        <v>16</v>
      </c>
      <c r="E217" s="3">
        <f t="array" ref="E217">_xlfn.POISSON.DIST(D217,$B$208,FALSE)</f>
        <v>7.1037005639379966E-9</v>
      </c>
      <c r="F217" s="3">
        <f t="array" ref="F217">_xlfn.POISSON.DIST(D217,$B$208,TRUE)</f>
        <v>1.0227257316153614E-8</v>
      </c>
      <c r="G217" s="3">
        <f t="array" ref="G217">_xlfn.BINOM.DIST(D217,$B$202,$B$203,FALSE)</f>
        <v>2.6705064343375177E-13</v>
      </c>
    </row>
    <row r="218" spans="1:7" x14ac:dyDescent="0.25">
      <c r="D218" s="3">
        <v>17</v>
      </c>
      <c r="E218" s="3">
        <f t="array" ref="E218">_xlfn.POISSON.DIST(D218,$B$208,FALSE)</f>
        <v>2.1311101691814005E-8</v>
      </c>
      <c r="F218" s="3">
        <f t="array" ref="F218">_xlfn.POISSON.DIST(D218,$B$208,TRUE)</f>
        <v>3.153835900796745E-8</v>
      </c>
      <c r="G218" s="3">
        <f t="array" ref="G218">_xlfn.BINOM.DIST(D218,$B$202,$B$203,FALSE)</f>
        <v>1.3734033090878552E-12</v>
      </c>
    </row>
    <row r="219" spans="1:7" x14ac:dyDescent="0.25">
      <c r="D219" s="3">
        <v>18</v>
      </c>
      <c r="E219" s="3">
        <f t="array" ref="E219">_xlfn.POISSON.DIST(D219,$B$208,FALSE)</f>
        <v>6.0381454793472707E-8</v>
      </c>
      <c r="F219" s="3">
        <f t="array" ref="F219">_xlfn.POISSON.DIST(D219,$B$208,TRUE)</f>
        <v>9.1919813801440196E-8</v>
      </c>
      <c r="G219" s="3">
        <f t="array" ref="G219">_xlfn.BINOM.DIST(D219,$B$202,$B$203,FALSE)</f>
        <v>6.5914015956562764E-12</v>
      </c>
    </row>
    <row r="220" spans="1:7" x14ac:dyDescent="0.25">
      <c r="D220" s="3">
        <v>19</v>
      </c>
      <c r="E220" s="3">
        <f t="array" ref="E220">_xlfn.POISSON.DIST(D220,$B$208,FALSE)</f>
        <v>1.6207653655090061E-7</v>
      </c>
      <c r="F220" s="3">
        <f t="array" ref="F220">_xlfn.POISSON.DIST(D220,$B$208,TRUE)</f>
        <v>2.5399635035234084E-7</v>
      </c>
      <c r="G220" s="3">
        <f t="array" ref="G220">_xlfn.BINOM.DIST(D220,$B$202,$B$203,FALSE)</f>
        <v>2.9608207812067203E-11</v>
      </c>
    </row>
    <row r="221" spans="1:7" x14ac:dyDescent="0.25">
      <c r="D221" s="3">
        <v>20</v>
      </c>
      <c r="E221" s="3">
        <f t="array" ref="E221">_xlfn.POISSON.DIST(D221,$B$208,FALSE)</f>
        <v>4.1329516820479644E-7</v>
      </c>
      <c r="F221" s="3">
        <f t="array" ref="F221">_xlfn.POISSON.DIST(D221,$B$208,TRUE)</f>
        <v>6.6729151855713782E-7</v>
      </c>
      <c r="G221" s="3">
        <f t="array" ref="G221">_xlfn.BINOM.DIST(D221,$B$202,$B$203,FALSE)</f>
        <v>1.248076596649491E-10</v>
      </c>
    </row>
    <row r="222" spans="1:7" x14ac:dyDescent="0.25">
      <c r="D222" s="3">
        <v>21</v>
      </c>
      <c r="E222" s="3">
        <f t="array" ref="E222">_xlfn.POISSON.DIST(D222,$B$208,FALSE)</f>
        <v>1.0037168370687922E-6</v>
      </c>
      <c r="F222" s="3">
        <f t="array" ref="F222">_xlfn.POISSON.DIST(D222,$B$208,TRUE)</f>
        <v>1.6710083556259312E-6</v>
      </c>
      <c r="G222" s="3">
        <f t="array" ref="G222">_xlfn.BINOM.DIST(D222,$B$202,$B$203,FALSE)</f>
        <v>4.9486418992516635E-10</v>
      </c>
    </row>
    <row r="223" spans="1:7" x14ac:dyDescent="0.25">
      <c r="D223" s="3">
        <v>22</v>
      </c>
      <c r="E223" s="3">
        <f t="array" ref="E223">_xlfn.POISSON.DIST(D223,$B$208,FALSE)</f>
        <v>2.3267981222958382E-6</v>
      </c>
      <c r="F223" s="3">
        <f t="array" ref="F223">_xlfn.POISSON.DIST(D223,$B$208,TRUE)</f>
        <v>3.9978064779217622E-6</v>
      </c>
      <c r="G223" s="3">
        <f t="array" ref="G223">_xlfn.BINOM.DIST(D223,$B$202,$B$203,FALSE)</f>
        <v>1.849543433403057E-9</v>
      </c>
    </row>
    <row r="224" spans="1:7" x14ac:dyDescent="0.25">
      <c r="D224" s="3">
        <v>23</v>
      </c>
      <c r="E224" s="3">
        <f t="array" ref="E224">_xlfn.POISSON.DIST(D224,$B$208,FALSE)</f>
        <v>5.1594219233516331E-6</v>
      </c>
      <c r="F224" s="3">
        <f t="array" ref="F224">_xlfn.POISSON.DIST(D224,$B$208,TRUE)</f>
        <v>9.1572284012734334E-6</v>
      </c>
      <c r="G224" s="3">
        <f t="array" ref="G224">_xlfn.BINOM.DIST(D224,$B$202,$B$203,FALSE)</f>
        <v>6.5283795723845017E-9</v>
      </c>
    </row>
    <row r="225" spans="4:7" x14ac:dyDescent="0.25">
      <c r="D225" s="3">
        <v>24</v>
      </c>
      <c r="E225" s="3">
        <f t="array" ref="E225">_xlfn.POISSON.DIST(D225,$B$208,FALSE)</f>
        <v>1.0963771587122265E-5</v>
      </c>
      <c r="F225" s="3">
        <f t="array" ref="F225">_xlfn.POISSON.DIST(D225,$B$208,TRUE)</f>
        <v>2.0120999988395689E-5</v>
      </c>
      <c r="G225" s="3">
        <f t="array" ref="G225">_xlfn.BINOM.DIST(D225,$B$202,$B$203,FALSE)</f>
        <v>2.1800124643498388E-8</v>
      </c>
    </row>
    <row r="226" spans="4:7" x14ac:dyDescent="0.25">
      <c r="D226" s="3">
        <v>25</v>
      </c>
      <c r="E226" s="3">
        <f t="array" ref="E226">_xlfn.POISSON.DIST(D226,$B$208,FALSE)</f>
        <v>2.2366094037729412E-5</v>
      </c>
      <c r="F226" s="3">
        <f t="array" ref="F226">_xlfn.POISSON.DIST(D226,$B$208,TRUE)</f>
        <v>4.2487094026125083E-5</v>
      </c>
      <c r="G226" s="3">
        <f t="array" ref="G226">_xlfn.BINOM.DIST(D226,$B$202,$B$203,FALSE)</f>
        <v>6.8977373974040508E-8</v>
      </c>
    </row>
    <row r="227" spans="4:7" x14ac:dyDescent="0.25">
      <c r="D227" s="3">
        <v>26</v>
      </c>
      <c r="E227" s="3">
        <f t="array" ref="E227">_xlfn.POISSON.DIST(D227,$B$208,FALSE)</f>
        <v>4.3871953689392283E-5</v>
      </c>
      <c r="F227" s="3">
        <f t="array" ref="F227">_xlfn.POISSON.DIST(D227,$B$208,TRUE)</f>
        <v>8.6359047715517116E-5</v>
      </c>
      <c r="G227" s="3">
        <f t="array" ref="G227">_xlfn.BINOM.DIST(D227,$B$202,$B$203,FALSE)</f>
        <v>2.070945490193922E-7</v>
      </c>
    </row>
    <row r="228" spans="4:7" x14ac:dyDescent="0.25">
      <c r="D228" s="3">
        <v>27</v>
      </c>
      <c r="E228" s="3">
        <f t="array" ref="E228">_xlfn.POISSON.DIST(D228,$B$208,FALSE)</f>
        <v>8.2869245857740751E-5</v>
      </c>
      <c r="F228" s="3">
        <f t="array" ref="F228">_xlfn.POISSON.DIST(D228,$B$208,TRUE)</f>
        <v>1.6922829357325793E-4</v>
      </c>
      <c r="G228" s="3">
        <f t="array" ref="G228">_xlfn.BINOM.DIST(D228,$B$202,$B$203,FALSE)</f>
        <v>5.907595071800288E-7</v>
      </c>
    </row>
    <row r="229" spans="4:7" x14ac:dyDescent="0.25">
      <c r="D229" s="3">
        <v>28</v>
      </c>
      <c r="E229" s="3">
        <f t="array" ref="E229">_xlfn.POISSON.DIST(D229,$B$208,FALSE)</f>
        <v>1.5094041209802781E-4</v>
      </c>
      <c r="F229" s="3">
        <f t="array" ref="F229">_xlfn.POISSON.DIST(D229,$B$208,TRUE)</f>
        <v>3.2016870567128661E-4</v>
      </c>
      <c r="G229" s="3">
        <f t="array" ref="G229">_xlfn.BINOM.DIST(D229,$B$202,$B$203,FALSE)</f>
        <v>1.6030595081860379E-6</v>
      </c>
    </row>
    <row r="230" spans="4:7" x14ac:dyDescent="0.25">
      <c r="D230" s="3">
        <v>29</v>
      </c>
      <c r="E230" s="3">
        <f t="array" ref="E230">_xlfn.POISSON.DIST(D230,$B$208,FALSE)</f>
        <v>2.6544693162067055E-4</v>
      </c>
      <c r="F230" s="3">
        <f t="array" ref="F230">_xlfn.POISSON.DIST(D230,$B$208,TRUE)</f>
        <v>5.856156372919558E-4</v>
      </c>
      <c r="G230" s="3">
        <f t="array" ref="G230">_xlfn.BINOM.DIST(D230,$B$202,$B$203,FALSE)</f>
        <v>4.1424591935673302E-6</v>
      </c>
    </row>
    <row r="231" spans="4:7" x14ac:dyDescent="0.25">
      <c r="D231" s="3">
        <v>30</v>
      </c>
      <c r="E231" s="3">
        <f t="array" ref="E231">_xlfn.POISSON.DIST(D231,$B$208,FALSE)</f>
        <v>4.5125978375513872E-4</v>
      </c>
      <c r="F231" s="3">
        <f t="array" ref="F231">_xlfn.POISSON.DIST(D231,$B$208,TRUE)</f>
        <v>1.0368754210470985E-3</v>
      </c>
      <c r="G231" s="3">
        <f t="array" ref="G231">_xlfn.BINOM.DIST(D231,$B$202,$B$203,FALSE)</f>
        <v>1.020397601354236E-5</v>
      </c>
    </row>
    <row r="232" spans="4:7" x14ac:dyDescent="0.25">
      <c r="D232" s="3">
        <v>31</v>
      </c>
      <c r="E232" s="3">
        <f t="array" ref="E232">_xlfn.POISSON.DIST(D232,$B$208,FALSE)</f>
        <v>7.4239512811329577E-4</v>
      </c>
      <c r="F232" s="3">
        <f t="array" ref="F232">_xlfn.POISSON.DIST(D232,$B$208,TRUE)</f>
        <v>1.7792705491603892E-3</v>
      </c>
      <c r="G232" s="3">
        <f t="array" ref="G232">_xlfn.BINOM.DIST(D232,$B$202,$B$203,FALSE)</f>
        <v>2.3981694778371442E-5</v>
      </c>
    </row>
    <row r="233" spans="4:7" x14ac:dyDescent="0.25">
      <c r="D233" s="3">
        <v>32</v>
      </c>
      <c r="E233" s="3">
        <f t="array" ref="E233">_xlfn.POISSON.DIST(D233,$B$208,FALSE)</f>
        <v>1.1831922354305616E-3</v>
      </c>
      <c r="F233" s="3">
        <f t="array" ref="F233">_xlfn.POISSON.DIST(D233,$B$208,TRUE)</f>
        <v>2.9624627845909468E-3</v>
      </c>
      <c r="G233" s="3">
        <f t="array" ref="G233">_xlfn.BINOM.DIST(D233,$B$202,$B$203,FALSE)</f>
        <v>5.3821163217531198E-5</v>
      </c>
    </row>
    <row r="234" spans="4:7" x14ac:dyDescent="0.25">
      <c r="D234" s="3">
        <v>33</v>
      </c>
      <c r="E234" s="3">
        <f t="array" ref="E234">_xlfn.POISSON.DIST(D234,$B$208,FALSE)</f>
        <v>1.8285698183926841E-3</v>
      </c>
      <c r="F234" s="3">
        <f t="array" ref="F234">_xlfn.POISSON.DIST(D234,$B$208,TRUE)</f>
        <v>4.7910326029836289E-3</v>
      </c>
      <c r="G234" s="3">
        <f t="array" ref="G234">_xlfn.BINOM.DIST(D234,$B$202,$B$203,FALSE)</f>
        <v>1.1543091777266415E-4</v>
      </c>
    </row>
    <row r="235" spans="4:7" x14ac:dyDescent="0.25">
      <c r="D235" s="3">
        <v>34</v>
      </c>
      <c r="E235" s="3">
        <f t="array" ref="E235">_xlfn.POISSON.DIST(D235,$B$208,FALSE)</f>
        <v>2.7428547275890241E-3</v>
      </c>
      <c r="F235" s="3">
        <f t="array" ref="F235">_xlfn.POISSON.DIST(D235,$B$208,TRUE)</f>
        <v>7.5338873305726565E-3</v>
      </c>
      <c r="G235" s="3">
        <f t="array" ref="G235">_xlfn.BINOM.DIST(D235,$B$202,$B$203,FALSE)</f>
        <v>2.3675116808475033E-4</v>
      </c>
    </row>
    <row r="236" spans="4:7" x14ac:dyDescent="0.25">
      <c r="D236" s="3">
        <v>35</v>
      </c>
      <c r="E236" s="3">
        <f t="array" ref="E236">_xlfn.POISSON.DIST(D236,$B$208,FALSE)</f>
        <v>3.9967311744868676E-3</v>
      </c>
      <c r="F236" s="3">
        <f t="array" ref="F236">_xlfn.POISSON.DIST(D236,$B$208,TRUE)</f>
        <v>1.1530618505059532E-2</v>
      </c>
      <c r="G236" s="3">
        <f t="array" ref="G236">_xlfn.BINOM.DIST(D236,$B$202,$B$203,FALSE)</f>
        <v>4.6466730715642669E-4</v>
      </c>
    </row>
    <row r="237" spans="4:7" x14ac:dyDescent="0.25">
      <c r="D237" s="3">
        <v>36</v>
      </c>
      <c r="E237" s="3">
        <f t="array" ref="E237">_xlfn.POISSON.DIST(D237,$B$208,FALSE)</f>
        <v>5.6620358305230619E-3</v>
      </c>
      <c r="F237" s="3">
        <f t="array" ref="F237">_xlfn.POISSON.DIST(D237,$B$208,TRUE)</f>
        <v>1.7192654335582584E-2</v>
      </c>
      <c r="G237" s="3">
        <f t="array" ref="G237">_xlfn.BINOM.DIST(D237,$B$202,$B$203,FALSE)</f>
        <v>8.7322682722423709E-4</v>
      </c>
    </row>
    <row r="238" spans="4:7" x14ac:dyDescent="0.25">
      <c r="D238" s="3">
        <v>37</v>
      </c>
      <c r="E238" s="3">
        <f t="array" ref="E238">_xlfn.POISSON.DIST(D238,$B$208,FALSE)</f>
        <v>7.804427766396645E-3</v>
      </c>
      <c r="F238" s="3">
        <f t="array" ref="F238">_xlfn.POISSON.DIST(D238,$B$208,TRUE)</f>
        <v>2.4997082101979252E-2</v>
      </c>
      <c r="G238" s="3">
        <f t="array" ref="G238">_xlfn.BINOM.DIST(D238,$B$202,$B$203,FALSE)</f>
        <v>1.5720972774737488E-3</v>
      </c>
    </row>
    <row r="239" spans="4:7" x14ac:dyDescent="0.25">
      <c r="D239" s="3">
        <v>38</v>
      </c>
      <c r="E239" s="3">
        <f t="array" ref="E239">_xlfn.POISSON.DIST(D239,$B$208,FALSE)</f>
        <v>1.0474363581216567E-2</v>
      </c>
      <c r="F239" s="3">
        <f t="array" ref="F239">_xlfn.POISSON.DIST(D239,$B$208,TRUE)</f>
        <v>3.5471445683195726E-2</v>
      </c>
      <c r="G239" s="3">
        <f t="array" ref="G239">_xlfn.BINOM.DIST(D239,$B$202,$B$203,FALSE)</f>
        <v>2.7127543246633487E-3</v>
      </c>
    </row>
    <row r="240" spans="4:7" x14ac:dyDescent="0.25">
      <c r="D240" s="3">
        <v>39</v>
      </c>
      <c r="E240" s="3">
        <f t="array" ref="E240">_xlfn.POISSON.DIST(D240,$B$208,FALSE)</f>
        <v>1.3697244683129323E-2</v>
      </c>
      <c r="F240" s="3">
        <f t="array" ref="F240">_xlfn.POISSON.DIST(D240,$B$208,TRUE)</f>
        <v>4.9168690366325152E-2</v>
      </c>
      <c r="G240" s="3">
        <f t="array" ref="G240">_xlfn.BINOM.DIST(D240,$B$202,$B$203,FALSE)</f>
        <v>4.4886076266800025E-3</v>
      </c>
    </row>
    <row r="241" spans="4:7" x14ac:dyDescent="0.25">
      <c r="D241" s="3">
        <v>40</v>
      </c>
      <c r="E241" s="3">
        <f t="array" ref="E241">_xlfn.POISSON.DIST(D241,$B$208,FALSE)</f>
        <v>1.7463986970989942E-2</v>
      </c>
      <c r="F241" s="3">
        <f t="array" ref="F241">_xlfn.POISSON.DIST(D241,$B$208,TRUE)</f>
        <v>6.6632677337315108E-2</v>
      </c>
      <c r="G241" s="3">
        <f t="array" ref="G241">_xlfn.BINOM.DIST(D241,$B$202,$B$203,FALSE)</f>
        <v>7.1245195543885266E-3</v>
      </c>
    </row>
    <row r="242" spans="4:7" x14ac:dyDescent="0.25">
      <c r="D242" s="3">
        <v>41</v>
      </c>
      <c r="E242" s="3">
        <f t="array" ref="E242">_xlfn.POISSON.DIST(D242,$B$208,FALSE)</f>
        <v>2.1723495988304559E-2</v>
      </c>
      <c r="F242" s="3">
        <f t="array" ref="F242">_xlfn.POISSON.DIST(D242,$B$208,TRUE)</f>
        <v>8.8356173325619666E-2</v>
      </c>
      <c r="G242" s="3">
        <f t="array" ref="G242">_xlfn.BINOM.DIST(D242,$B$202,$B$203,FALSE)</f>
        <v>1.0851682347650056E-2</v>
      </c>
    </row>
    <row r="243" spans="4:7" x14ac:dyDescent="0.25">
      <c r="D243" s="3">
        <v>42</v>
      </c>
      <c r="E243" s="3">
        <f t="array" ref="E243">_xlfn.POISSON.DIST(D243,$B$208,FALSE)</f>
        <v>2.6378530842941204E-2</v>
      </c>
      <c r="F243" s="3">
        <f t="array" ref="F243">_xlfn.POISSON.DIST(D243,$B$208,TRUE)</f>
        <v>0.11473470416856089</v>
      </c>
      <c r="G243" s="3">
        <f t="array" ref="G243">_xlfn.BINOM.DIST(D243,$B$202,$B$203,FALSE)</f>
        <v>1.586623526923174E-2</v>
      </c>
    </row>
    <row r="244" spans="4:7" x14ac:dyDescent="0.25">
      <c r="D244" s="3">
        <v>43</v>
      </c>
      <c r="E244" s="3">
        <f t="array" ref="E244">_xlfn.POISSON.DIST(D244,$B$208,FALSE)</f>
        <v>3.128616448813959E-2</v>
      </c>
      <c r="F244" s="3">
        <f t="array" ref="F244">_xlfn.POISSON.DIST(D244,$B$208,TRUE)</f>
        <v>0.14602086865670047</v>
      </c>
      <c r="G244" s="3">
        <f t="array" ref="G244">_xlfn.BINOM.DIST(D244,$B$202,$B$203,FALSE)</f>
        <v>2.2274477421161606E-2</v>
      </c>
    </row>
    <row r="245" spans="4:7" x14ac:dyDescent="0.25">
      <c r="D245" s="3">
        <v>44</v>
      </c>
      <c r="E245" s="3">
        <f t="array" ref="E245">_xlfn.POISSON.DIST(D245,$B$208,FALSE)</f>
        <v>3.6263508838525416E-2</v>
      </c>
      <c r="F245" s="3">
        <f t="array" ref="F245">_xlfn.POISSON.DIST(D245,$B$208,TRUE)</f>
        <v>0.18228437749522591</v>
      </c>
      <c r="G245" s="3">
        <f t="array" ref="G245">_xlfn.BINOM.DIST(D245,$B$202,$B$203,FALSE)</f>
        <v>3.0033351513597741E-2</v>
      </c>
    </row>
    <row r="246" spans="4:7" x14ac:dyDescent="0.25">
      <c r="D246" s="3">
        <v>45</v>
      </c>
      <c r="E246" s="3">
        <f t="array" ref="E246">_xlfn.POISSON.DIST(D246,$B$208,FALSE)</f>
        <v>4.1098643350328833E-2</v>
      </c>
      <c r="F246" s="3">
        <f t="array" ref="F246">_xlfn.POISSON.DIST(D246,$B$208,TRUE)</f>
        <v>0.22338302084555473</v>
      </c>
      <c r="G246" s="3">
        <f t="array" ref="G246">_xlfn.BINOM.DIST(D246,$B$202,$B$203,FALSE)</f>
        <v>3.8900341008088535E-2</v>
      </c>
    </row>
    <row r="247" spans="4:7" x14ac:dyDescent="0.25">
      <c r="D247" s="3">
        <v>46</v>
      </c>
      <c r="E247" s="3">
        <f t="array" ref="E247">_xlfn.POISSON.DIST(D247,$B$208,FALSE)</f>
        <v>4.5565887192755873E-2</v>
      </c>
      <c r="F247" s="3">
        <f t="array" ref="F247">_xlfn.POISSON.DIST(D247,$B$208,TRUE)</f>
        <v>0.26894890803831056</v>
      </c>
      <c r="G247" s="3">
        <f t="array" ref="G247">_xlfn.BINOM.DIST(D247,$B$202,$B$203,FALSE)</f>
        <v>4.8409696773597355E-2</v>
      </c>
    </row>
    <row r="248" spans="4:7" x14ac:dyDescent="0.25">
      <c r="D248" s="3">
        <v>47</v>
      </c>
      <c r="E248" s="3">
        <f t="array" ref="E248">_xlfn.POISSON.DIST(D248,$B$208,FALSE)</f>
        <v>4.9443835038947871E-2</v>
      </c>
      <c r="F248" s="3">
        <f t="array" ref="F248">_xlfn.POISSON.DIST(D248,$B$208,TRUE)</f>
        <v>0.31839274307725846</v>
      </c>
      <c r="G248" s="3">
        <f t="array" ref="G248">_xlfn.BINOM.DIST(D248,$B$202,$B$203,FALSE)</f>
        <v>5.7889841473941425E-2</v>
      </c>
    </row>
    <row r="249" spans="4:7" x14ac:dyDescent="0.25">
      <c r="D249" s="3">
        <v>48</v>
      </c>
      <c r="E249" s="3">
        <f t="array" ref="E249">_xlfn.POISSON.DIST(D249,$B$208,FALSE)</f>
        <v>5.2534074728882114E-2</v>
      </c>
      <c r="F249" s="3">
        <f t="array" ref="F249">_xlfn.POISSON.DIST(D249,$B$208,TRUE)</f>
        <v>0.37092681780614056</v>
      </c>
      <c r="G249" s="3">
        <f t="array" ref="G249">_xlfn.BINOM.DIST(D249,$B$202,$B$203,FALSE)</f>
        <v>6.6529014244924967E-2</v>
      </c>
    </row>
    <row r="250" spans="4:7" x14ac:dyDescent="0.25">
      <c r="D250" s="3">
        <v>49</v>
      </c>
      <c r="E250" s="3">
        <f t="array" ref="E250">_xlfn.POISSON.DIST(D250,$B$208,FALSE)</f>
        <v>5.4678322676999763E-2</v>
      </c>
      <c r="F250" s="3">
        <f t="array" ref="F250">_xlfn.POISSON.DIST(D250,$B$208,TRUE)</f>
        <v>0.42560514048314035</v>
      </c>
      <c r="G250" s="3">
        <f t="array" ref="G250">_xlfn.BINOM.DIST(D250,$B$202,$B$203,FALSE)</f>
        <v>7.3483942431295746E-2</v>
      </c>
    </row>
    <row r="251" spans="4:7" x14ac:dyDescent="0.25">
      <c r="D251" s="3">
        <v>50</v>
      </c>
      <c r="E251" s="3">
        <f t="array" ref="E251">_xlfn.POISSON.DIST(D251,$B$208,FALSE)</f>
        <v>5.5771889130539744E-2</v>
      </c>
      <c r="F251" s="3">
        <f t="array" ref="F251">_xlfn.POISSON.DIST(D251,$B$208,TRUE)</f>
        <v>0.48137702961368012</v>
      </c>
      <c r="G251" s="3">
        <f t="array" ref="G251">_xlfn.BINOM.DIST(D251,$B$202,$B$203,FALSE)</f>
        <v>7.8012952760734777E-2</v>
      </c>
    </row>
    <row r="252" spans="4:7" x14ac:dyDescent="0.25">
      <c r="D252" s="3">
        <v>51</v>
      </c>
      <c r="E252" s="3">
        <f t="array" ref="E252">_xlfn.POISSON.DIST(D252,$B$208,FALSE)</f>
        <v>5.5771889130539744E-2</v>
      </c>
      <c r="F252" s="3">
        <f t="array" ref="F252">_xlfn.POISSON.DIST(D252,$B$208,TRUE)</f>
        <v>0.53714891874421988</v>
      </c>
      <c r="G252" s="3">
        <f t="array" ref="G252">_xlfn.BINOM.DIST(D252,$B$202,$B$203,FALSE)</f>
        <v>7.9605053837484466E-2</v>
      </c>
    </row>
    <row r="253" spans="4:7" x14ac:dyDescent="0.25">
      <c r="D253" s="3">
        <v>52</v>
      </c>
      <c r="E253" s="3">
        <f t="array" ref="E253">_xlfn.POISSON.DIST(D253,$B$208,FALSE)</f>
        <v>5.4699352801106299E-2</v>
      </c>
      <c r="F253" s="3">
        <f t="array" ref="F253">_xlfn.POISSON.DIST(D253,$B$208,TRUE)</f>
        <v>0.59184827154532615</v>
      </c>
      <c r="G253" s="3">
        <f t="array" ref="G253">_xlfn.BINOM.DIST(D253,$B$202,$B$203,FALSE)</f>
        <v>7.8074187417532831E-2</v>
      </c>
    </row>
    <row r="254" spans="4:7" x14ac:dyDescent="0.25">
      <c r="D254" s="3">
        <v>53</v>
      </c>
      <c r="E254" s="3">
        <f t="array" ref="E254">_xlfn.POISSON.DIST(D254,$B$208,FALSE)</f>
        <v>5.2635226280309838E-2</v>
      </c>
      <c r="F254" s="3">
        <f t="array" ref="F254">_xlfn.POISSON.DIST(D254,$B$208,TRUE)</f>
        <v>0.64448349782563596</v>
      </c>
      <c r="G254" s="3">
        <f t="array" ref="G254">_xlfn.BINOM.DIST(D254,$B$202,$B$203,FALSE)</f>
        <v>7.359476734621502E-2</v>
      </c>
    </row>
    <row r="255" spans="4:7" x14ac:dyDescent="0.25">
      <c r="D255" s="3">
        <v>54</v>
      </c>
      <c r="E255" s="3">
        <f t="array" ref="E255">_xlfn.POISSON.DIST(D255,$B$208,FALSE)</f>
        <v>4.9711047042514833E-2</v>
      </c>
      <c r="F255" s="3">
        <f t="array" ref="F255">_xlfn.POISSON.DIST(D255,$B$208,TRUE)</f>
        <v>0.6941945448681508</v>
      </c>
      <c r="G255" s="3">
        <f t="array" ref="G255">_xlfn.BINOM.DIST(D255,$B$202,$B$203,FALSE)</f>
        <v>6.6669182663974827E-2</v>
      </c>
    </row>
    <row r="256" spans="4:7" x14ac:dyDescent="0.25">
      <c r="D256" s="3">
        <v>55</v>
      </c>
      <c r="E256" s="3">
        <f t="array" ref="E256">_xlfn.POISSON.DIST(D256,$B$208,FALSE)</f>
        <v>4.6095698166695571E-2</v>
      </c>
      <c r="F256" s="3">
        <f t="array" ref="F256">_xlfn.POISSON.DIST(D256,$B$208,TRUE)</f>
        <v>0.74029024303484636</v>
      </c>
      <c r="G256" s="3">
        <f t="array" ref="G256">_xlfn.BINOM.DIST(D256,$B$202,$B$203,FALSE)</f>
        <v>5.8035585354243011E-2</v>
      </c>
    </row>
    <row r="257" spans="4:7" x14ac:dyDescent="0.25">
      <c r="D257" s="3">
        <v>56</v>
      </c>
      <c r="E257" s="3">
        <f t="array" ref="E257">_xlfn.POISSON.DIST(D257,$B$208,FALSE)</f>
        <v>4.1980010830383462E-2</v>
      </c>
      <c r="F257" s="3">
        <f t="array" ref="F257">_xlfn.POISSON.DIST(D257,$B$208,TRUE)</f>
        <v>0.78227025386522986</v>
      </c>
      <c r="G257" s="3">
        <f t="array" ref="G257">_xlfn.BINOM.DIST(D257,$B$202,$B$203,FALSE)</f>
        <v>4.8539237750724357E-2</v>
      </c>
    </row>
    <row r="258" spans="4:7" x14ac:dyDescent="0.25">
      <c r="D258" s="3">
        <v>57</v>
      </c>
      <c r="E258" s="3">
        <f t="array" ref="E258">_xlfn.POISSON.DIST(D258,$B$208,FALSE)</f>
        <v>3.7561062321922044E-2</v>
      </c>
      <c r="F258" s="3">
        <f t="array" ref="F258">_xlfn.POISSON.DIST(D258,$B$208,TRUE)</f>
        <v>0.81983131618715188</v>
      </c>
      <c r="G258" s="3">
        <f t="array" ref="G258">_xlfn.BINOM.DIST(D258,$B$202,$B$203,FALSE)</f>
        <v>3.8998227537638916E-2</v>
      </c>
    </row>
    <row r="259" spans="4:7" x14ac:dyDescent="0.25">
      <c r="D259" s="3">
        <v>58</v>
      </c>
      <c r="E259" s="3">
        <f t="array" ref="E259">_xlfn.POISSON.DIST(D259,$B$208,FALSE)</f>
        <v>3.3027830662379742E-2</v>
      </c>
      <c r="F259" s="3">
        <f t="array" ref="F259">_xlfn.POISSON.DIST(D259,$B$208,TRUE)</f>
        <v>0.85285914684953168</v>
      </c>
      <c r="G259" s="3">
        <f t="array" ref="G259">_xlfn.BINOM.DIST(D259,$B$202,$B$203,FALSE)</f>
        <v>3.0092580221689726E-2</v>
      </c>
    </row>
    <row r="260" spans="4:7" x14ac:dyDescent="0.25">
      <c r="D260" s="3">
        <v>59</v>
      </c>
      <c r="E260" s="3">
        <f t="array" ref="E260">_xlfn.POISSON.DIST(D260,$B$208,FALSE)</f>
        <v>2.8549480742057074E-2</v>
      </c>
      <c r="F260" s="3">
        <f t="array" ref="F260">_xlfn.POISSON.DIST(D260,$B$208,TRUE)</f>
        <v>0.88140862759158867</v>
      </c>
      <c r="G260" s="3">
        <f t="array" ref="G260">_xlfn.BINOM.DIST(D260,$B$202,$B$203,FALSE)</f>
        <v>2.2296197452389994E-2</v>
      </c>
    </row>
    <row r="261" spans="4:7" x14ac:dyDescent="0.25">
      <c r="D261" s="3">
        <v>60</v>
      </c>
      <c r="E261" s="3">
        <f t="array" ref="E261">_xlfn.POISSON.DIST(D261,$B$208,FALSE)</f>
        <v>2.4267058630748527E-2</v>
      </c>
      <c r="F261" s="3">
        <f t="array" ref="F261">_xlfn.POISSON.DIST(D261,$B$208,TRUE)</f>
        <v>0.90567568622233718</v>
      </c>
      <c r="G261" s="3">
        <f t="array" ref="G261">_xlfn.BINOM.DIST(D261,$B$202,$B$203,FALSE)</f>
        <v>1.5857601657465113E-2</v>
      </c>
    </row>
    <row r="262" spans="4:7" x14ac:dyDescent="0.25">
      <c r="D262" s="3">
        <v>61</v>
      </c>
      <c r="E262" s="3">
        <f t="array" ref="E262">_xlfn.POISSON.DIST(D262,$B$208,FALSE)</f>
        <v>2.0288852297838882E-2</v>
      </c>
      <c r="F262" s="3">
        <f t="array" ref="F262">_xlfn.POISSON.DIST(D262,$B$208,TRUE)</f>
        <v>0.92596453852017602</v>
      </c>
      <c r="G262" s="3">
        <f t="array" ref="G262">_xlfn.BINOM.DIST(D262,$B$202,$B$203,FALSE)</f>
        <v>1.082285292112037E-2</v>
      </c>
    </row>
    <row r="263" spans="4:7" x14ac:dyDescent="0.25">
      <c r="D263" s="3">
        <v>62</v>
      </c>
      <c r="E263" s="3">
        <f t="array" ref="E263">_xlfn.POISSON.DIST(D263,$B$208,FALSE)</f>
        <v>1.6689217212738465E-2</v>
      </c>
      <c r="F263" s="3">
        <f t="array" ref="F263">_xlfn.POISSON.DIST(D263,$B$208,TRUE)</f>
        <v>0.94265375573291454</v>
      </c>
      <c r="G263" s="3">
        <f t="array" ref="G263">_xlfn.BINOM.DIST(D263,$B$202,$B$203,FALSE)</f>
        <v>7.0857980448019876E-3</v>
      </c>
    </row>
    <row r="264" spans="4:7" x14ac:dyDescent="0.25">
      <c r="D264" s="3">
        <v>63</v>
      </c>
      <c r="E264" s="3">
        <f t="array" ref="E264">_xlfn.POISSON.DIST(D264,$B$208,FALSE)</f>
        <v>1.3510318696026369E-2</v>
      </c>
      <c r="F264" s="3">
        <f t="array" ref="F264">_xlfn.POISSON.DIST(D264,$B$208,TRUE)</f>
        <v>0.95616407442894091</v>
      </c>
      <c r="G264" s="3">
        <f t="array" ref="G264">_xlfn.BINOM.DIST(D264,$B$202,$B$203,FALSE)</f>
        <v>4.4484213186997889E-3</v>
      </c>
    </row>
    <row r="265" spans="4:7" x14ac:dyDescent="0.25">
      <c r="D265" s="3">
        <v>64</v>
      </c>
      <c r="E265" s="3">
        <f t="array" ref="E265">_xlfn.POISSON.DIST(D265,$B$208,FALSE)</f>
        <v>1.0766035210896021E-2</v>
      </c>
      <c r="F265" s="3">
        <f t="array" ref="F265">_xlfn.POISSON.DIST(D265,$B$208,TRUE)</f>
        <v>0.96693010963983694</v>
      </c>
      <c r="G265" s="3">
        <f t="array" ref="G265">_xlfn.BINOM.DIST(D265,$B$202,$B$203,FALSE)</f>
        <v>2.6767127003783559E-3</v>
      </c>
    </row>
    <row r="266" spans="4:7" x14ac:dyDescent="0.25">
      <c r="D266" s="3">
        <v>65</v>
      </c>
      <c r="E266" s="3">
        <f t="array" ref="E266">_xlfn.POISSON.DIST(D266,$B$208,FALSE)</f>
        <v>8.4471968577799449E-3</v>
      </c>
      <c r="F266" s="3">
        <f t="array" ref="F266">_xlfn.POISSON.DIST(D266,$B$208,TRUE)</f>
        <v>0.97537730649761689</v>
      </c>
      <c r="G266" s="3">
        <f t="array" ref="G266">_xlfn.BINOM.DIST(D266,$B$202,$B$203,FALSE)</f>
        <v>1.5429967089151148E-3</v>
      </c>
    </row>
    <row r="267" spans="4:7" x14ac:dyDescent="0.25">
      <c r="D267" s="3">
        <v>66</v>
      </c>
      <c r="E267" s="3">
        <f t="array" ref="E267">_xlfn.POISSON.DIST(D267,$B$208,FALSE)</f>
        <v>6.5273793901026939E-3</v>
      </c>
      <c r="F267" s="3">
        <f t="array" ref="F267">_xlfn.POISSON.DIST(D267,$B$208,TRUE)</f>
        <v>0.98190468588771962</v>
      </c>
      <c r="G267" s="3">
        <f t="array" ref="G267">_xlfn.BINOM.DIST(D267,$B$202,$B$203,FALSE)</f>
        <v>8.5165402764795627E-4</v>
      </c>
    </row>
    <row r="268" spans="4:7" x14ac:dyDescent="0.25">
      <c r="D268" s="3">
        <v>67</v>
      </c>
      <c r="E268" s="3">
        <f t="array" ref="E268">_xlfn.POISSON.DIST(D268,$B$208,FALSE)</f>
        <v>4.9686022223169894E-3</v>
      </c>
      <c r="F268" s="3">
        <f t="array" ref="F268">_xlfn.POISSON.DIST(D268,$B$208,TRUE)</f>
        <v>0.98687328811003661</v>
      </c>
      <c r="G268" s="3">
        <f t="array" ref="G268">_xlfn.BINOM.DIST(D268,$B$202,$B$203,FALSE)</f>
        <v>4.4982274868765127E-4</v>
      </c>
    </row>
    <row r="269" spans="4:7" x14ac:dyDescent="0.25">
      <c r="D269" s="3">
        <v>68</v>
      </c>
      <c r="E269" s="3">
        <f t="array" ref="E269">_xlfn.POISSON.DIST(D269,$B$208,FALSE)</f>
        <v>3.7264516667377318E-3</v>
      </c>
      <c r="F269" s="3">
        <f t="array" ref="F269">_xlfn.POISSON.DIST(D269,$B$208,TRUE)</f>
        <v>0.99059973977677429</v>
      </c>
      <c r="G269" s="3">
        <f t="array" ref="G269">_xlfn.BINOM.DIST(D269,$B$202,$B$203,FALSE)</f>
        <v>2.2720638836774197E-4</v>
      </c>
    </row>
    <row r="270" spans="4:7" x14ac:dyDescent="0.25">
      <c r="D270" s="3">
        <v>69</v>
      </c>
      <c r="E270" s="3">
        <f t="array" ref="E270">_xlfn.POISSON.DIST(D270,$B$208,FALSE)</f>
        <v>2.7543338406322308E-3</v>
      </c>
      <c r="F270" s="3">
        <f t="array" ref="F270">_xlfn.POISSON.DIST(D270,$B$208,TRUE)</f>
        <v>0.99335407361740646</v>
      </c>
      <c r="G270" s="3">
        <f t="array" ref="G270">_xlfn.BINOM.DIST(D270,$B$202,$B$203,FALSE)</f>
        <v>1.0967193901690411E-4</v>
      </c>
    </row>
    <row r="271" spans="4:7" x14ac:dyDescent="0.25">
      <c r="D271" s="3">
        <v>70</v>
      </c>
      <c r="E271" s="3">
        <f t="array" ref="E271">_xlfn.POISSON.DIST(D271,$B$208,FALSE)</f>
        <v>2.0067289410320511E-3</v>
      </c>
      <c r="F271" s="3">
        <f t="array" ref="F271">_xlfn.POISSON.DIST(D271,$B$208,TRUE)</f>
        <v>0.99536080255843862</v>
      </c>
      <c r="G271" s="3">
        <f t="array" ref="G271">_xlfn.BINOM.DIST(D271,$B$202,$B$203,FALSE)</f>
        <v>5.0551409791756698E-5</v>
      </c>
    </row>
    <row r="272" spans="4:7" x14ac:dyDescent="0.25">
      <c r="D272" s="3">
        <v>71</v>
      </c>
      <c r="E272" s="3">
        <f t="array" ref="E272">_xlfn.POISSON.DIST(D272,$B$208,FALSE)</f>
        <v>1.4414531829948602E-3</v>
      </c>
      <c r="F272" s="3">
        <f t="array" ref="F272">_xlfn.POISSON.DIST(D272,$B$208,TRUE)</f>
        <v>0.99680225574143344</v>
      </c>
      <c r="G272" s="3">
        <f t="array" ref="G272">_xlfn.BINOM.DIST(D272,$B$202,$B$203,FALSE)</f>
        <v>2.2231577172000017E-5</v>
      </c>
    </row>
    <row r="273" spans="4:7" x14ac:dyDescent="0.25">
      <c r="D273" s="3">
        <v>72</v>
      </c>
      <c r="E273" s="3">
        <f t="array" ref="E273">_xlfn.POISSON.DIST(D273,$B$208,FALSE)</f>
        <v>1.0210293379546876E-3</v>
      </c>
      <c r="F273" s="3">
        <f t="array" ref="F273">_xlfn.POISSON.DIST(D273,$B$208,TRUE)</f>
        <v>0.99782328507938811</v>
      </c>
      <c r="G273" s="3">
        <f t="array" ref="G273">_xlfn.BINOM.DIST(D273,$B$202,$B$203,FALSE)</f>
        <v>9.3198703620714178E-6</v>
      </c>
    </row>
    <row r="274" spans="4:7" x14ac:dyDescent="0.25">
      <c r="D274" s="3">
        <v>73</v>
      </c>
      <c r="E274" s="3">
        <f t="array" ref="E274">_xlfn.POISSON.DIST(D274,$B$208,FALSE)</f>
        <v>7.1332186624231827E-4</v>
      </c>
      <c r="F274" s="3">
        <f t="array" ref="F274">_xlfn.POISSON.DIST(D274,$B$208,TRUE)</f>
        <v>0.99853660694563051</v>
      </c>
      <c r="G274" s="3">
        <f t="array" ref="G274">_xlfn.BINOM.DIST(D274,$B$202,$B$203,FALSE)</f>
        <v>3.7206527472848843E-6</v>
      </c>
    </row>
    <row r="275" spans="4:7" x14ac:dyDescent="0.25">
      <c r="D275" s="3">
        <v>74</v>
      </c>
      <c r="E275" s="3">
        <f t="array" ref="E275">_xlfn.POISSON.DIST(D275,$B$208,FALSE)</f>
        <v>4.9161371862646336E-4</v>
      </c>
      <c r="F275" s="3">
        <f t="array" ref="F275">_xlfn.POISSON.DIST(D275,$B$208,TRUE)</f>
        <v>0.99902822066425689</v>
      </c>
      <c r="G275" s="3">
        <f t="array" ref="G275">_xlfn.BINOM.DIST(D275,$B$202,$B$203,FALSE)</f>
        <v>1.4129450725348228E-6</v>
      </c>
    </row>
    <row r="276" spans="4:7" x14ac:dyDescent="0.25">
      <c r="D276" s="3">
        <v>75</v>
      </c>
      <c r="E276" s="3">
        <f t="array" ref="E276">_xlfn.POISSON.DIST(D276,$B$208,FALSE)</f>
        <v>3.3429732866599508E-4</v>
      </c>
      <c r="F276" s="3">
        <f t="array" ref="F276">_xlfn.POISSON.DIST(D276,$B$208,TRUE)</f>
        <v>0.99936251799292286</v>
      </c>
      <c r="G276" s="3">
        <f t="array" ref="G276">_xlfn.BINOM.DIST(D276,$B$202,$B$203,FALSE)</f>
        <v>5.0981365066154474E-7</v>
      </c>
    </row>
    <row r="277" spans="4:7" x14ac:dyDescent="0.25">
      <c r="D277" s="3">
        <v>76</v>
      </c>
      <c r="E277" s="3">
        <f t="array" ref="E277">_xlfn.POISSON.DIST(D277,$B$208,FALSE)</f>
        <v>2.2433110213112705E-4</v>
      </c>
      <c r="F277" s="3">
        <f t="array" ref="F277">_xlfn.POISSON.DIST(D277,$B$208,TRUE)</f>
        <v>0.99958684909505402</v>
      </c>
      <c r="G277" s="3">
        <f t="array" ref="G277">_xlfn.BINOM.DIST(D277,$B$202,$B$203,FALSE)</f>
        <v>1.7454683259760126E-7</v>
      </c>
    </row>
    <row r="278" spans="4:7" x14ac:dyDescent="0.25">
      <c r="D278" s="3">
        <v>77</v>
      </c>
      <c r="E278" s="3">
        <f t="array" ref="E278">_xlfn.POISSON.DIST(D278,$B$208,FALSE)</f>
        <v>1.4858293777516302E-4</v>
      </c>
      <c r="F278" s="3">
        <f t="array" ref="F278">_xlfn.POISSON.DIST(D278,$B$208,TRUE)</f>
        <v>0.99973543203282911</v>
      </c>
      <c r="G278" s="3">
        <f t="array" ref="G278">_xlfn.BINOM.DIST(D278,$B$202,$B$203,FALSE)</f>
        <v>5.6624787463415015E-8</v>
      </c>
    </row>
    <row r="279" spans="4:7" x14ac:dyDescent="0.25">
      <c r="D279" s="3">
        <v>78</v>
      </c>
      <c r="E279" s="3">
        <f t="array" ref="E279">_xlfn.POISSON.DIST(D279,$B$208,FALSE)</f>
        <v>9.715038239145291E-5</v>
      </c>
      <c r="F279" s="3">
        <f t="array" ref="F279">_xlfn.POISSON.DIST(D279,$B$208,TRUE)</f>
        <v>0.99983258241522066</v>
      </c>
      <c r="G279" s="3">
        <f t="array" ref="G279">_xlfn.BINOM.DIST(D279,$B$202,$B$203,FALSE)</f>
        <v>1.7378565069227066E-8</v>
      </c>
    </row>
    <row r="280" spans="4:7" x14ac:dyDescent="0.25">
      <c r="D280" s="3">
        <v>79</v>
      </c>
      <c r="E280" s="3">
        <f t="array" ref="E280">_xlfn.POISSON.DIST(D280,$B$208,FALSE)</f>
        <v>6.2717335467899285E-5</v>
      </c>
      <c r="F280" s="3">
        <f t="array" ref="F280">_xlfn.POISSON.DIST(D280,$B$208,TRUE)</f>
        <v>0.99989529975068847</v>
      </c>
      <c r="G280" s="3">
        <f t="array" ref="G280">_xlfn.BINOM.DIST(D280,$B$202,$B$203,FALSE)</f>
        <v>5.0371351091895208E-9</v>
      </c>
    </row>
    <row r="281" spans="4:7" x14ac:dyDescent="0.25">
      <c r="D281" s="3">
        <v>80</v>
      </c>
      <c r="E281" s="3">
        <f t="array" ref="E281">_xlfn.POISSON.DIST(D281,$B$208,FALSE)</f>
        <v>3.9982301360786075E-5</v>
      </c>
      <c r="F281" s="3">
        <f t="array" ref="F281">_xlfn.POISSON.DIST(D281,$B$208,TRUE)</f>
        <v>0.99993528205204929</v>
      </c>
      <c r="G281" s="3">
        <f t="array" ref="G281">_xlfn.BINOM.DIST(D281,$B$202,$B$203,FALSE)</f>
        <v>1.3762172709035745E-9</v>
      </c>
    </row>
    <row r="282" spans="4:7" x14ac:dyDescent="0.25">
      <c r="D282" s="3">
        <v>81</v>
      </c>
      <c r="E282" s="3">
        <f t="array" ref="E282">_xlfn.POISSON.DIST(D282,$B$208,FALSE)</f>
        <v>2.517404159753211E-5</v>
      </c>
      <c r="F282" s="3">
        <f t="array" ref="F282">_xlfn.POISSON.DIST(D282,$B$208,TRUE)</f>
        <v>0.99996045609364681</v>
      </c>
      <c r="G282" s="3">
        <f t="array" ref="G282">_xlfn.BINOM.DIST(D282,$B$202,$B$203,FALSE)</f>
        <v>3.5367639615057968E-10</v>
      </c>
    </row>
    <row r="283" spans="4:7" x14ac:dyDescent="0.25">
      <c r="D283" s="3">
        <v>82</v>
      </c>
      <c r="E283" s="3">
        <f t="array" ref="E283">_xlfn.POISSON.DIST(D283,$B$208,FALSE)</f>
        <v>1.5657025871635647E-5</v>
      </c>
      <c r="F283" s="3">
        <f t="array" ref="F283">_xlfn.POISSON.DIST(D283,$B$208,TRUE)</f>
        <v>0.99997611311951851</v>
      </c>
      <c r="G283" s="3">
        <f t="array" ref="G283">_xlfn.BINOM.DIST(D283,$B$202,$B$203,FALSE)</f>
        <v>8.5294282695347901E-11</v>
      </c>
    </row>
    <row r="284" spans="4:7" x14ac:dyDescent="0.25">
      <c r="D284" s="3">
        <v>83</v>
      </c>
      <c r="E284" s="3">
        <f t="array" ref="E284">_xlfn.POISSON.DIST(D284,$B$208,FALSE)</f>
        <v>9.6205821620894629E-6</v>
      </c>
      <c r="F284" s="3">
        <f t="array" ref="F284">_xlfn.POISSON.DIST(D284,$B$208,TRUE)</f>
        <v>0.99998573370168065</v>
      </c>
      <c r="G284" s="3">
        <f t="array" ref="G284">_xlfn.BINOM.DIST(D284,$B$202,$B$203,FALSE)</f>
        <v>1.9252557539791033E-11</v>
      </c>
    </row>
    <row r="285" spans="4:7" x14ac:dyDescent="0.25">
      <c r="D285" s="3">
        <v>84</v>
      </c>
      <c r="E285" s="3">
        <f t="array" ref="E285">_xlfn.POISSON.DIST(D285,$B$208,FALSE)</f>
        <v>5.841067741268609E-6</v>
      </c>
      <c r="F285" s="3">
        <f t="array" ref="F285">_xlfn.POISSON.DIST(D285,$B$208,TRUE)</f>
        <v>0.99999157476942191</v>
      </c>
      <c r="G285" s="3">
        <f t="array" ref="G285">_xlfn.BINOM.DIST(D285,$B$202,$B$203,FALSE)</f>
        <v>4.0553856625361763E-12</v>
      </c>
    </row>
    <row r="286" spans="4:7" x14ac:dyDescent="0.25">
      <c r="D286" s="3">
        <v>85</v>
      </c>
      <c r="E286" s="3">
        <f t="array" ref="E286">_xlfn.POISSON.DIST(D286,$B$208,FALSE)</f>
        <v>3.5046406447611327E-6</v>
      </c>
      <c r="F286" s="3">
        <f t="array" ref="F286">_xlfn.POISSON.DIST(D286,$B$208,TRUE)</f>
        <v>0.9999950794100666</v>
      </c>
      <c r="G286" s="3">
        <f t="array" ref="G286">_xlfn.BINOM.DIST(D286,$B$202,$B$203,FALSE)</f>
        <v>7.9452453796626514E-13</v>
      </c>
    </row>
    <row r="287" spans="4:7" x14ac:dyDescent="0.25">
      <c r="D287" s="3">
        <v>86</v>
      </c>
      <c r="E287" s="3">
        <f t="array" ref="E287">_xlfn.POISSON.DIST(D287,$B$208,FALSE)</f>
        <v>2.0783334056141722E-6</v>
      </c>
      <c r="F287" s="3">
        <f t="array" ref="F287">_xlfn.POISSON.DIST(D287,$B$208,TRUE)</f>
        <v>0.9999971577434722</v>
      </c>
      <c r="G287" s="3">
        <f t="array" ref="G287">_xlfn.BINOM.DIST(D287,$B$202,$B$203,FALSE)</f>
        <v>1.4423618214147946E-13</v>
      </c>
    </row>
    <row r="288" spans="4:7" x14ac:dyDescent="0.25">
      <c r="D288" s="3">
        <v>87</v>
      </c>
      <c r="E288" s="3">
        <f t="array" ref="E288">_xlfn.POISSON.DIST(D288,$B$208,FALSE)</f>
        <v>1.2183333757048649E-6</v>
      </c>
      <c r="F288" s="3">
        <f t="array" ref="F288">_xlfn.POISSON.DIST(D288,$B$208,TRUE)</f>
        <v>0.99999837607684794</v>
      </c>
      <c r="G288" s="3">
        <f t="array" ref="G288">_xlfn.BINOM.DIST(D288,$B$202,$B$203,FALSE)</f>
        <v>2.4157784201036011E-14</v>
      </c>
    </row>
    <row r="289" spans="1:7" x14ac:dyDescent="0.25">
      <c r="D289" s="3">
        <v>88</v>
      </c>
      <c r="E289" s="3">
        <f t="array" ref="E289">_xlfn.POISSON.DIST(D289,$B$208,FALSE)</f>
        <v>7.060795700107659E-7</v>
      </c>
      <c r="F289" s="3">
        <f t="array" ref="F289">_xlfn.POISSON.DIST(D289,$B$208,TRUE)</f>
        <v>0.99999908215641797</v>
      </c>
      <c r="G289" s="3">
        <f t="array" ref="G289">_xlfn.BINOM.DIST(D289,$B$202,$B$203,FALSE)</f>
        <v>3.7144273945470128E-15</v>
      </c>
    </row>
    <row r="290" spans="1:7" x14ac:dyDescent="0.25">
      <c r="D290" s="3">
        <v>89</v>
      </c>
      <c r="E290" s="3">
        <f t="array" ref="E290">_xlfn.POISSON.DIST(D290,$B$208,FALSE)</f>
        <v>4.0460739405111562E-7</v>
      </c>
      <c r="F290" s="3">
        <f t="array" ref="F290">_xlfn.POISSON.DIST(D290,$B$208,TRUE)</f>
        <v>0.99999948676381201</v>
      </c>
      <c r="G290" s="3">
        <f t="array" ref="G290">_xlfn.BINOM.DIST(D290,$B$202,$B$203,FALSE)</f>
        <v>5.2126337203916314E-16</v>
      </c>
    </row>
    <row r="291" spans="1:7" x14ac:dyDescent="0.25">
      <c r="D291" s="3">
        <v>90</v>
      </c>
      <c r="E291" s="3">
        <f t="array" ref="E291">_xlfn.POISSON.DIST(D291,$B$208,FALSE)</f>
        <v>2.2927752329563132E-7</v>
      </c>
      <c r="F291" s="3">
        <f t="array" ref="F291">_xlfn.POISSON.DIST(D291,$B$208,TRUE)</f>
        <v>0.99999971604133531</v>
      </c>
      <c r="G291" s="3">
        <f t="array" ref="G291">_xlfn.BINOM.DIST(D291,$B$202,$B$203,FALSE)</f>
        <v>6.6310374538314773E-17</v>
      </c>
    </row>
    <row r="292" spans="1:7" x14ac:dyDescent="0.25">
      <c r="D292" s="3">
        <v>91</v>
      </c>
      <c r="E292" s="3">
        <f t="array" ref="E292">_xlfn.POISSON.DIST(D292,$B$208,FALSE)</f>
        <v>1.284961943744742E-7</v>
      </c>
      <c r="F292" s="3">
        <f t="array" ref="F292">_xlfn.POISSON.DIST(D292,$B$208,TRUE)</f>
        <v>0.99999984453752966</v>
      </c>
      <c r="G292" s="3">
        <f t="array" ref="G292">_xlfn.BINOM.DIST(D292,$B$202,$B$203,FALSE)</f>
        <v>7.5842769711909379E-18</v>
      </c>
    </row>
    <row r="293" spans="1:7" x14ac:dyDescent="0.25">
      <c r="D293" s="3">
        <v>92</v>
      </c>
      <c r="E293" s="3">
        <f t="array" ref="E293">_xlfn.POISSON.DIST(D293,$B$208,FALSE)</f>
        <v>7.1231586011937387E-8</v>
      </c>
      <c r="F293" s="3">
        <f t="array" ref="F293">_xlfn.POISSON.DIST(D293,$B$208,TRUE)</f>
        <v>0.99999991576911573</v>
      </c>
      <c r="G293" s="3">
        <f t="array" ref="G293">_xlfn.BINOM.DIST(D293,$B$202,$B$203,FALSE)</f>
        <v>7.7222340944469446E-19</v>
      </c>
    </row>
    <row r="294" spans="1:7" x14ac:dyDescent="0.25">
      <c r="D294" s="3">
        <v>93</v>
      </c>
      <c r="E294" s="3">
        <f t="array" ref="E294">_xlfn.POISSON.DIST(D294,$B$208,FALSE)</f>
        <v>3.9062482651707743E-8</v>
      </c>
      <c r="F294" s="3">
        <f t="array" ref="F294">_xlfn.POISSON.DIST(D294,$B$208,TRUE)</f>
        <v>0.99999995483159831</v>
      </c>
      <c r="G294" s="3">
        <f t="array" ref="G294">_xlfn.BINOM.DIST(D294,$B$202,$B$203,FALSE)</f>
        <v>6.9139159765950641E-20</v>
      </c>
    </row>
    <row r="295" spans="1:7" x14ac:dyDescent="0.25">
      <c r="D295" s="3">
        <v>94</v>
      </c>
      <c r="E295" s="3">
        <f t="array" ref="E295">_xlfn.POISSON.DIST(D295,$B$208,FALSE)</f>
        <v>2.1193474630181719E-8</v>
      </c>
      <c r="F295" s="3">
        <f t="array" ref="F295">_xlfn.POISSON.DIST(D295,$B$208,TRUE)</f>
        <v>0.99999997602507296</v>
      </c>
      <c r="G295" s="3">
        <f t="array" ref="G295">_xlfn.BINOM.DIST(D295,$B$202,$B$203,FALSE)</f>
        <v>5.3588102554155758E-21</v>
      </c>
    </row>
    <row r="296" spans="1:7" x14ac:dyDescent="0.25">
      <c r="D296" s="3">
        <v>95</v>
      </c>
      <c r="E296" s="3">
        <f t="array" ref="E296">_xlfn.POISSON.DIST(D296,$B$208,FALSE)</f>
        <v>1.1377549538308089E-8</v>
      </c>
      <c r="F296" s="3">
        <f t="array" ref="F296">_xlfn.POISSON.DIST(D296,$B$208,TRUE)</f>
        <v>0.99999998740262241</v>
      </c>
      <c r="G296" s="3">
        <f t="array" ref="G296">_xlfn.BINOM.DIST(D296,$B$202,$B$203,FALSE)</f>
        <v>3.5226550765997241E-22</v>
      </c>
    </row>
    <row r="297" spans="1:7" x14ac:dyDescent="0.25">
      <c r="D297" s="3">
        <v>96</v>
      </c>
      <c r="E297" s="3">
        <f t="array" ref="E297">_xlfn.POISSON.DIST(D297,$B$208,FALSE)</f>
        <v>6.0443231922261399E-9</v>
      </c>
      <c r="F297" s="3">
        <f t="array" ref="F297">_xlfn.POISSON.DIST(D297,$B$208,TRUE)</f>
        <v>0.99999999344694568</v>
      </c>
      <c r="G297" s="3">
        <f t="array" ref="G297">_xlfn.BINOM.DIST(D297,$B$202,$B$203,FALSE)</f>
        <v>1.9096025606567202E-23</v>
      </c>
    </row>
    <row r="298" spans="1:7" x14ac:dyDescent="0.25">
      <c r="D298" s="3">
        <v>97</v>
      </c>
      <c r="E298" s="3">
        <f t="array" ref="E298">_xlfn.POISSON.DIST(D298,$B$208,FALSE)</f>
        <v>3.1779431216859439E-9</v>
      </c>
      <c r="F298" s="3">
        <f t="array" ref="F298">_xlfn.POISSON.DIST(D298,$B$208,TRUE)</f>
        <v>0.99999999662488881</v>
      </c>
      <c r="G298" s="3">
        <f t="array" ref="G298">_xlfn.BINOM.DIST(D298,$B$202,$B$203,FALSE)</f>
        <v>8.1960640095514016E-25</v>
      </c>
    </row>
    <row r="299" spans="1:7" x14ac:dyDescent="0.25">
      <c r="D299" s="3">
        <v>98</v>
      </c>
      <c r="E299" s="3">
        <f t="array" ref="E299">_xlfn.POISSON.DIST(D299,$B$208,FALSE)</f>
        <v>1.6538275429181973E-9</v>
      </c>
      <c r="F299" s="3">
        <f t="array" ref="F299">_xlfn.POISSON.DIST(D299,$B$208,TRUE)</f>
        <v>0.99999999827871633</v>
      </c>
      <c r="G299" s="3">
        <f t="array" ref="G299">_xlfn.BINOM.DIST(D299,$B$202,$B$203,FALSE)</f>
        <v>2.6114073166625583E-26</v>
      </c>
    </row>
    <row r="300" spans="1:7" x14ac:dyDescent="0.25">
      <c r="D300" s="3">
        <v>99</v>
      </c>
      <c r="E300" s="3">
        <f t="array" ref="E300">_xlfn.POISSON.DIST(D300,$B$208,FALSE)</f>
        <v>8.5197176453360973E-10</v>
      </c>
      <c r="F300" s="3">
        <f t="array" ref="F300">_xlfn.POISSON.DIST(D300,$B$208,TRUE)</f>
        <v>0.99999999913068804</v>
      </c>
      <c r="G300" s="3">
        <f t="array" ref="G300">_xlfn.BINOM.DIST(D300,$B$202,$B$203,FALSE)</f>
        <v>5.4908997381896324E-28</v>
      </c>
    </row>
    <row r="301" spans="1:7" x14ac:dyDescent="0.25">
      <c r="D301" s="3">
        <v>100</v>
      </c>
      <c r="E301" s="3">
        <f t="array" ref="E301">_xlfn.POISSON.DIST(D301,$B$208,FALSE)</f>
        <v>4.3450559991214285E-10</v>
      </c>
      <c r="F301" s="3">
        <f t="array" ref="F301">_xlfn.POISSON.DIST(D301,$B$208,TRUE)</f>
        <v>0.9999999995651937</v>
      </c>
      <c r="G301" s="3">
        <f t="array" ref="G301">_xlfn.BINOM.DIST(D301,$B$202,$B$203,FALSE)</f>
        <v>5.7150180948503657E-30</v>
      </c>
    </row>
    <row r="303" spans="1:7" x14ac:dyDescent="0.25">
      <c r="A303" s="2" t="s">
        <v>25</v>
      </c>
    </row>
    <row r="305" spans="1:7" x14ac:dyDescent="0.25">
      <c r="A305" s="2" t="s">
        <v>5</v>
      </c>
      <c r="D305" s="3" t="s">
        <v>20</v>
      </c>
      <c r="E305" s="3" t="s">
        <v>3</v>
      </c>
      <c r="F305" s="3" t="s">
        <v>4</v>
      </c>
      <c r="G305" s="3" t="s">
        <v>22</v>
      </c>
    </row>
    <row r="306" spans="1:7" x14ac:dyDescent="0.25">
      <c r="A306" s="2"/>
      <c r="D306" s="3" t="s">
        <v>6</v>
      </c>
      <c r="E306" s="3" t="s">
        <v>7</v>
      </c>
      <c r="F306" s="3" t="s">
        <v>8</v>
      </c>
      <c r="G306" s="3" t="s">
        <v>23</v>
      </c>
    </row>
    <row r="307" spans="1:7" x14ac:dyDescent="0.25">
      <c r="A307" s="2" t="s">
        <v>9</v>
      </c>
      <c r="B307" s="2">
        <v>23</v>
      </c>
      <c r="D307" s="3">
        <v>0</v>
      </c>
      <c r="E307" s="3">
        <f>_xlfn.POISSON.DIST(D307,$B$313,FALSE)</f>
        <v>1.0051835744633576E-2</v>
      </c>
      <c r="F307" s="3">
        <f t="array" ref="F307">_xlfn.POISSON.DIST(D307,$B$313,TRUE)</f>
        <v>1.0051835744633576E-2</v>
      </c>
      <c r="G307" s="3">
        <f t="array" ref="G307">_xlfn.BINOM.DIST(D307,$B$307,$B$308,FALSE)</f>
        <v>5.9029581035870572E-3</v>
      </c>
    </row>
    <row r="308" spans="1:7" x14ac:dyDescent="0.25">
      <c r="A308" s="2" t="s">
        <v>10</v>
      </c>
      <c r="B308" s="2">
        <v>0.2</v>
      </c>
      <c r="D308" s="3">
        <v>1</v>
      </c>
      <c r="E308" s="3">
        <f t="array" ref="E308">_xlfn.POISSON.DIST(D308,$B$313,FALSE)</f>
        <v>4.6238444425314454E-2</v>
      </c>
      <c r="F308" s="3">
        <f t="array" ref="F308">_xlfn.POISSON.DIST(D308,$B$313,TRUE)</f>
        <v>5.6290280169948026E-2</v>
      </c>
      <c r="G308" s="3">
        <f t="array" ref="G308">_xlfn.BINOM.DIST(D308,$B$307,$B$308,FALSE)</f>
        <v>3.3942009095625551E-2</v>
      </c>
    </row>
    <row r="309" spans="1:7" x14ac:dyDescent="0.25">
      <c r="A309" s="2" t="s">
        <v>11</v>
      </c>
      <c r="B309" s="2">
        <f>1-B308</f>
        <v>0.8</v>
      </c>
      <c r="D309" s="3">
        <v>2</v>
      </c>
      <c r="E309" s="3">
        <f t="array" ref="E309">_xlfn.POISSON.DIST(D309,$B$313,FALSE)</f>
        <v>0.10634842217822328</v>
      </c>
      <c r="F309" s="3">
        <f t="array" ref="F309">_xlfn.POISSON.DIST(D309,$B$313,TRUE)</f>
        <v>0.16263870234817129</v>
      </c>
      <c r="G309" s="3">
        <f t="array" ref="G309">_xlfn.BINOM.DIST(D309,$B$307,$B$308,FALSE)</f>
        <v>9.3340525012970327E-2</v>
      </c>
    </row>
    <row r="310" spans="1:7" x14ac:dyDescent="0.25">
      <c r="A310" s="2"/>
      <c r="B310" s="2"/>
      <c r="D310" s="3">
        <v>3</v>
      </c>
      <c r="E310" s="3">
        <f t="array" ref="E310">_xlfn.POISSON.DIST(D310,$B$313,FALSE)</f>
        <v>0.16306758067327573</v>
      </c>
      <c r="F310" s="3">
        <f t="array" ref="F310">_xlfn.POISSON.DIST(D310,$B$313,TRUE)</f>
        <v>0.32570628302144694</v>
      </c>
      <c r="G310" s="3">
        <f t="array" ref="G310">_xlfn.BINOM.DIST(D310,$B$307,$B$308,FALSE)</f>
        <v>0.16334591877269808</v>
      </c>
    </row>
    <row r="311" spans="1:7" x14ac:dyDescent="0.25">
      <c r="A311" s="2" t="s">
        <v>12</v>
      </c>
      <c r="B311" s="2"/>
      <c r="D311" s="3">
        <v>4</v>
      </c>
      <c r="E311" s="3">
        <f t="array" ref="E311">_xlfn.POISSON.DIST(D311,$B$313,FALSE)</f>
        <v>0.18752771777426711</v>
      </c>
      <c r="F311" s="3">
        <f t="array" ref="F311">_xlfn.POISSON.DIST(D311,$B$313,TRUE)</f>
        <v>0.51323400079571413</v>
      </c>
      <c r="G311" s="3">
        <f t="array" ref="G311">_xlfn.BINOM.DIST(D311,$B$307,$B$308,FALSE)</f>
        <v>0.20418239846587263</v>
      </c>
    </row>
    <row r="312" spans="1:7" x14ac:dyDescent="0.25">
      <c r="A312" s="2"/>
      <c r="B312" s="2"/>
      <c r="D312" s="3">
        <v>5</v>
      </c>
      <c r="E312" s="3">
        <f t="array" ref="E312">_xlfn.POISSON.DIST(D312,$B$313,FALSE)</f>
        <v>0.17252550035232572</v>
      </c>
      <c r="F312" s="3">
        <f t="array" ref="F312">_xlfn.POISSON.DIST(D312,$B$313,TRUE)</f>
        <v>0.68575950114803974</v>
      </c>
      <c r="G312" s="3">
        <f t="array" ref="G312">_xlfn.BINOM.DIST(D312,$B$307,$B$308,FALSE)</f>
        <v>0.19397327854257898</v>
      </c>
    </row>
    <row r="313" spans="1:7" x14ac:dyDescent="0.25">
      <c r="A313" s="2" t="s">
        <v>13</v>
      </c>
      <c r="B313" s="2">
        <f t="array" ref="B313">AVERAGE(B307*B308)</f>
        <v>4.6000000000000005</v>
      </c>
      <c r="D313" s="3">
        <v>6</v>
      </c>
      <c r="E313" s="3">
        <f t="array" ref="E313">_xlfn.POISSON.DIST(D313,$B$313,FALSE)</f>
        <v>0.13226955027011639</v>
      </c>
      <c r="F313" s="3">
        <f t="array" ref="F313">_xlfn.POISSON.DIST(D313,$B$313,TRUE)</f>
        <v>0.81802905141815607</v>
      </c>
      <c r="G313" s="3">
        <f t="array" ref="G313">_xlfn.BINOM.DIST(D313,$B$307,$B$308,FALSE)</f>
        <v>0.14547995890693419</v>
      </c>
    </row>
    <row r="314" spans="1:7" x14ac:dyDescent="0.25">
      <c r="A314" s="2" t="s">
        <v>14</v>
      </c>
      <c r="B314" s="2">
        <f t="array" ref="B314">B307*B308*(1-B308)</f>
        <v>3.6800000000000006</v>
      </c>
      <c r="D314" s="3">
        <v>7</v>
      </c>
      <c r="E314" s="3">
        <f t="array" ref="E314">_xlfn.POISSON.DIST(D314,$B$313,FALSE)</f>
        <v>8.6919990177505069E-2</v>
      </c>
      <c r="F314" s="3">
        <f t="array" ref="F314">_xlfn.POISSON.DIST(D314,$B$313,TRUE)</f>
        <v>0.90494904159566114</v>
      </c>
      <c r="G314" s="3">
        <f t="array" ref="G314">_xlfn.BINOM.DIST(D314,$B$307,$B$308,FALSE)</f>
        <v>8.8327117907781513E-2</v>
      </c>
    </row>
    <row r="315" spans="1:7" x14ac:dyDescent="0.25">
      <c r="A315" s="2" t="s">
        <v>15</v>
      </c>
      <c r="B315" s="2">
        <f t="array" ref="B315">SQRT(B314)</f>
        <v>1.9183326093250879</v>
      </c>
      <c r="D315" s="3">
        <v>8</v>
      </c>
      <c r="E315" s="3">
        <f t="array" ref="E315">_xlfn.POISSON.DIST(D315,$B$313,FALSE)</f>
        <v>4.9978994352065438E-2</v>
      </c>
      <c r="F315" s="3">
        <f t="array" ref="F315">_xlfn.POISSON.DIST(D315,$B$313,TRUE)</f>
        <v>0.95492803594772668</v>
      </c>
      <c r="G315" s="3">
        <f t="array" ref="G315">_xlfn.BINOM.DIST(D315,$B$307,$B$308,FALSE)</f>
        <v>4.4163558953890764E-2</v>
      </c>
    </row>
    <row r="316" spans="1:7" x14ac:dyDescent="0.25">
      <c r="D316" s="3">
        <v>9</v>
      </c>
      <c r="E316" s="3">
        <f t="array" ref="E316">_xlfn.POISSON.DIST(D316,$B$313,FALSE)</f>
        <v>2.5544819335500107E-2</v>
      </c>
      <c r="F316" s="3">
        <f t="array" ref="F316">_xlfn.POISSON.DIST(D316,$B$313,TRUE)</f>
        <v>0.9804728552832267</v>
      </c>
      <c r="G316" s="3">
        <f t="array" ref="G316">_xlfn.BINOM.DIST(D316,$B$307,$B$308,FALSE)</f>
        <v>1.8401482897454469E-2</v>
      </c>
    </row>
    <row r="317" spans="1:7" x14ac:dyDescent="0.25">
      <c r="D317" s="3">
        <v>10</v>
      </c>
      <c r="E317" s="3">
        <f t="array" ref="E317">_xlfn.POISSON.DIST(D317,$B$313,FALSE)</f>
        <v>1.1750616894330044E-2</v>
      </c>
      <c r="F317" s="3">
        <f t="array" ref="F317">_xlfn.POISSON.DIST(D317,$B$313,TRUE)</f>
        <v>0.9922234721775568</v>
      </c>
      <c r="G317" s="3">
        <f t="array" ref="G317">_xlfn.BINOM.DIST(D317,$B$307,$B$308,FALSE)</f>
        <v>6.4405190141090616E-3</v>
      </c>
    </row>
    <row r="318" spans="1:7" x14ac:dyDescent="0.25">
      <c r="D318" s="3">
        <v>11</v>
      </c>
      <c r="E318" s="3">
        <f t="array" ref="E318">_xlfn.POISSON.DIST(D318,$B$313,FALSE)</f>
        <v>4.9138943376289329E-3</v>
      </c>
      <c r="F318" s="3">
        <f t="array" ref="F318">_xlfn.POISSON.DIST(D318,$B$313,TRUE)</f>
        <v>0.9971373665151857</v>
      </c>
      <c r="G318" s="3">
        <f t="array" ref="G318">_xlfn.BINOM.DIST(D318,$B$307,$B$308,FALSE)</f>
        <v>1.9028806178049511E-3</v>
      </c>
    </row>
    <row r="319" spans="1:7" x14ac:dyDescent="0.25">
      <c r="D319" s="3">
        <v>12</v>
      </c>
      <c r="E319" s="3">
        <f t="array" ref="E319">_xlfn.POISSON.DIST(D319,$B$313,FALSE)</f>
        <v>1.8836594960910909E-3</v>
      </c>
      <c r="F319" s="3">
        <f t="array" ref="F319">_xlfn.POISSON.DIST(D319,$B$313,TRUE)</f>
        <v>0.99902102601127685</v>
      </c>
      <c r="G319" s="3">
        <f t="array" ref="G319">_xlfn.BINOM.DIST(D319,$B$307,$B$308,FALSE)</f>
        <v>4.7572015445123853E-4</v>
      </c>
    </row>
    <row r="320" spans="1:7" x14ac:dyDescent="0.25">
      <c r="D320" s="3">
        <v>13</v>
      </c>
      <c r="E320" s="3">
        <f t="array" ref="E320">_xlfn.POISSON.DIST(D320,$B$313,FALSE)</f>
        <v>6.6652566784761581E-4</v>
      </c>
      <c r="F320" s="3">
        <f t="array" ref="F320">_xlfn.POISSON.DIST(D320,$B$313,TRUE)</f>
        <v>0.99968755167912438</v>
      </c>
      <c r="G320" s="3">
        <f t="array" ref="G320">_xlfn.BINOM.DIST(D320,$B$307,$B$308,FALSE)</f>
        <v>1.0063310959545387E-4</v>
      </c>
    </row>
    <row r="321" spans="1:7" x14ac:dyDescent="0.25">
      <c r="D321" s="3">
        <v>14</v>
      </c>
      <c r="E321" s="3">
        <f t="array" ref="E321">_xlfn.POISSON.DIST(D321,$B$313,FALSE)</f>
        <v>2.1900129086421642E-4</v>
      </c>
      <c r="F321" s="3">
        <f t="array" ref="F321">_xlfn.POISSON.DIST(D321,$B$313,TRUE)</f>
        <v>0.99990655296998865</v>
      </c>
      <c r="G321" s="3">
        <f t="array" ref="G321">_xlfn.BINOM.DIST(D321,$B$307,$B$308,FALSE)</f>
        <v>1.7970198142045335E-5</v>
      </c>
    </row>
    <row r="322" spans="1:7" x14ac:dyDescent="0.25">
      <c r="D322" s="3">
        <v>15</v>
      </c>
      <c r="E322" s="3">
        <f t="array" ref="E322">_xlfn.POISSON.DIST(D322,$B$313,FALSE)</f>
        <v>6.7160395865026402E-5</v>
      </c>
      <c r="F322" s="3">
        <f t="array" ref="F322">_xlfn.POISSON.DIST(D322,$B$313,TRUE)</f>
        <v>0.99997371336585372</v>
      </c>
      <c r="G322" s="3">
        <f t="array" ref="G322">_xlfn.BINOM.DIST(D322,$B$307,$B$308,FALSE)</f>
        <v>2.6955297213068051E-6</v>
      </c>
    </row>
    <row r="323" spans="1:7" x14ac:dyDescent="0.25">
      <c r="D323" s="3">
        <v>16</v>
      </c>
      <c r="E323" s="3">
        <f t="array" ref="E323">_xlfn.POISSON.DIST(D323,$B$313,FALSE)</f>
        <v>1.9308613811195148E-5</v>
      </c>
      <c r="F323" s="3">
        <f t="array" ref="F323">_xlfn.POISSON.DIST(D323,$B$313,TRUE)</f>
        <v>0.99999302197966489</v>
      </c>
      <c r="G323" s="3">
        <f t="array" ref="G323">_xlfn.BINOM.DIST(D323,$B$307,$B$308,FALSE)</f>
        <v>3.3694121516335111E-7</v>
      </c>
    </row>
    <row r="324" spans="1:7" x14ac:dyDescent="0.25">
      <c r="D324" s="3">
        <v>17</v>
      </c>
      <c r="E324" s="3">
        <f t="array" ref="E324">_xlfn.POISSON.DIST(D324,$B$313,FALSE)</f>
        <v>5.2246837371469271E-6</v>
      </c>
      <c r="F324" s="3">
        <f t="array" ref="F324">_xlfn.POISSON.DIST(D324,$B$313,TRUE)</f>
        <v>0.99999824666340209</v>
      </c>
      <c r="G324" s="3">
        <f t="array" ref="G324">_xlfn.BINOM.DIST(D324,$B$307,$B$308,FALSE)</f>
        <v>3.468512509034505E-8</v>
      </c>
    </row>
    <row r="325" spans="1:7" x14ac:dyDescent="0.25">
      <c r="D325" s="3">
        <v>18</v>
      </c>
      <c r="E325" s="3">
        <f t="array" ref="E325">_xlfn.POISSON.DIST(D325,$B$313,FALSE)</f>
        <v>1.3351969550486532E-6</v>
      </c>
      <c r="F325" s="3">
        <f t="array" ref="F325">_xlfn.POISSON.DIST(D325,$B$313,TRUE)</f>
        <v>0.99999958186035709</v>
      </c>
      <c r="G325" s="3">
        <f t="array" ref="G325">_xlfn.BINOM.DIST(D325,$B$307,$B$308,FALSE)</f>
        <v>2.8904270908620702E-9</v>
      </c>
    </row>
    <row r="326" spans="1:7" x14ac:dyDescent="0.25">
      <c r="D326" s="3">
        <v>19</v>
      </c>
      <c r="E326" s="3">
        <f t="array" ref="E326">_xlfn.POISSON.DIST(D326,$B$313,FALSE)</f>
        <v>3.2325821016967437E-7</v>
      </c>
      <c r="F326" s="3">
        <f t="array" ref="F326">_xlfn.POISSON.DIST(D326,$B$313,TRUE)</f>
        <v>0.99999990511856729</v>
      </c>
      <c r="G326" s="3">
        <f t="array" ref="G326">_xlfn.BINOM.DIST(D326,$B$307,$B$308,FALSE)</f>
        <v>1.9015967703039939E-10</v>
      </c>
    </row>
    <row r="327" spans="1:7" x14ac:dyDescent="0.25">
      <c r="D327" s="3">
        <v>20</v>
      </c>
      <c r="E327" s="3">
        <f t="array" ref="E327">_xlfn.POISSON.DIST(D327,$B$313,FALSE)</f>
        <v>7.4349388339024849E-8</v>
      </c>
      <c r="F327" s="3">
        <f t="array" ref="F327">_xlfn.POISSON.DIST(D327,$B$313,TRUE)</f>
        <v>0.9999999794679556</v>
      </c>
      <c r="G327" s="3">
        <f t="array" ref="G327">_xlfn.BINOM.DIST(D327,$B$307,$B$308,FALSE)</f>
        <v>9.5079838515199693E-12</v>
      </c>
    </row>
    <row r="328" spans="1:7" x14ac:dyDescent="0.25">
      <c r="D328" s="3">
        <v>21</v>
      </c>
      <c r="E328" s="3">
        <f t="array" ref="E328">_xlfn.POISSON.DIST(D328,$B$313,FALSE)</f>
        <v>1.6286056493310227E-8</v>
      </c>
      <c r="F328" s="3">
        <f t="array" ref="F328">_xlfn.POISSON.DIST(D328,$B$313,TRUE)</f>
        <v>0.99999999575401211</v>
      </c>
      <c r="G328" s="3">
        <f t="array" ref="G328">_xlfn.BINOM.DIST(D328,$B$307,$B$308,FALSE)</f>
        <v>3.3957085183999892E-13</v>
      </c>
    </row>
    <row r="329" spans="1:7" x14ac:dyDescent="0.25">
      <c r="D329" s="3">
        <v>22</v>
      </c>
      <c r="E329" s="3">
        <f t="array" ref="E329">_xlfn.POISSON.DIST(D329,$B$313,FALSE)</f>
        <v>3.40526635769216E-9</v>
      </c>
      <c r="F329" s="3">
        <f t="array" ref="F329">_xlfn.POISSON.DIST(D329,$B$313,TRUE)</f>
        <v>0.99999999915927851</v>
      </c>
      <c r="G329" s="3">
        <f t="array" ref="G329">_xlfn.BINOM.DIST(D329,$B$307,$B$308,FALSE)</f>
        <v>7.7175193600000214E-15</v>
      </c>
    </row>
    <row r="330" spans="1:7" x14ac:dyDescent="0.25">
      <c r="D330" s="3">
        <v>23</v>
      </c>
      <c r="E330" s="3">
        <f t="array" ref="E330">_xlfn.POISSON.DIST(D330,$B$313,FALSE)</f>
        <v>6.8105327153842869E-10</v>
      </c>
      <c r="F330" s="3">
        <f t="array" ref="F330">_xlfn.POISSON.DIST(D330,$B$313,TRUE)</f>
        <v>0.99999999984033172</v>
      </c>
      <c r="G330" s="3">
        <f t="array" ref="G330">_xlfn.BINOM.DIST(D330,$B$307,$B$308,FALSE)</f>
        <v>8.3886079999999972E-17</v>
      </c>
    </row>
    <row r="333" spans="1:7" x14ac:dyDescent="0.25">
      <c r="A333" s="2" t="s">
        <v>26</v>
      </c>
    </row>
    <row r="335" spans="1:7" x14ac:dyDescent="0.25">
      <c r="A335" s="2" t="s">
        <v>5</v>
      </c>
    </row>
    <row r="336" spans="1:7" x14ac:dyDescent="0.25">
      <c r="A336" s="2"/>
    </row>
    <row r="337" spans="1:7" x14ac:dyDescent="0.25">
      <c r="A337" s="2" t="s">
        <v>9</v>
      </c>
      <c r="B337" s="2">
        <v>30</v>
      </c>
    </row>
    <row r="338" spans="1:7" x14ac:dyDescent="0.25">
      <c r="A338" s="2" t="s">
        <v>10</v>
      </c>
      <c r="B338" s="2">
        <v>0.26</v>
      </c>
      <c r="D338" s="3" t="s">
        <v>20</v>
      </c>
      <c r="E338" s="3" t="s">
        <v>3</v>
      </c>
      <c r="F338" s="3" t="s">
        <v>4</v>
      </c>
      <c r="G338" s="3" t="s">
        <v>22</v>
      </c>
    </row>
    <row r="339" spans="1:7" x14ac:dyDescent="0.25">
      <c r="A339" s="2" t="s">
        <v>11</v>
      </c>
      <c r="B339" s="2">
        <f>1-B338</f>
        <v>0.74</v>
      </c>
      <c r="D339" s="3" t="s">
        <v>6</v>
      </c>
      <c r="E339" s="3" t="s">
        <v>7</v>
      </c>
      <c r="F339" s="3" t="s">
        <v>8</v>
      </c>
      <c r="G339" s="3" t="s">
        <v>23</v>
      </c>
    </row>
    <row r="340" spans="1:7" x14ac:dyDescent="0.25">
      <c r="A340" s="2"/>
      <c r="B340" s="2"/>
      <c r="D340" s="3">
        <v>0</v>
      </c>
      <c r="E340" s="3">
        <f t="array" ref="E340">_xlfn.POISSON.DIST(D340,$B$343,FALSE)</f>
        <v>4.0973497897978643E-4</v>
      </c>
      <c r="F340" s="3">
        <f t="array" ref="F340">_xlfn.POISSON.DIST(D340,$B$343,TRUE)</f>
        <v>4.0973497897978643E-4</v>
      </c>
      <c r="G340" s="3">
        <f t="array" ref="G340">_xlfn.BINOM.DIST(D340,$B$337,$B$338,FALSE)</f>
        <v>1.1938550255468692E-4</v>
      </c>
    </row>
    <row r="341" spans="1:7" x14ac:dyDescent="0.25">
      <c r="A341" s="2" t="s">
        <v>12</v>
      </c>
      <c r="B341" s="2"/>
      <c r="D341" s="3">
        <v>1</v>
      </c>
      <c r="E341" s="3">
        <f t="array" ref="E341">_xlfn.POISSON.DIST(D341,$B$343,FALSE)</f>
        <v>3.1959328360423346E-3</v>
      </c>
      <c r="F341" s="3">
        <f t="array" ref="F341">_xlfn.POISSON.DIST(D341,$B$343,TRUE)</f>
        <v>3.6056678150221209E-3</v>
      </c>
      <c r="G341" s="3">
        <f t="array" ref="G341">_xlfn.BINOM.DIST(D341,$B$337,$B$338,FALSE)</f>
        <v>1.2583877296304831E-3</v>
      </c>
    </row>
    <row r="342" spans="1:7" x14ac:dyDescent="0.25">
      <c r="A342" s="2"/>
      <c r="B342" s="2"/>
      <c r="D342" s="3">
        <v>2</v>
      </c>
      <c r="E342" s="3">
        <f t="array" ref="E342">_xlfn.POISSON.DIST(D342,$B$343,FALSE)</f>
        <v>1.2464138060565106E-2</v>
      </c>
      <c r="F342" s="3">
        <f t="array" ref="F342">_xlfn.POISSON.DIST(D342,$B$343,TRUE)</f>
        <v>1.6069805875587227E-2</v>
      </c>
      <c r="G342" s="3">
        <f t="array" ref="G342">_xlfn.BINOM.DIST(D342,$B$337,$B$338,FALSE)</f>
        <v>6.4109753252796237E-3</v>
      </c>
    </row>
    <row r="343" spans="1:7" x14ac:dyDescent="0.25">
      <c r="A343" s="2" t="s">
        <v>13</v>
      </c>
      <c r="B343" s="2">
        <f t="array" ref="B343">AVERAGE(B337*B338)</f>
        <v>7.8000000000000007</v>
      </c>
      <c r="D343" s="3">
        <v>3</v>
      </c>
      <c r="E343" s="3">
        <f t="array" ref="E343">_xlfn.POISSON.DIST(D343,$B$343,FALSE)</f>
        <v>3.2406758957469271E-2</v>
      </c>
      <c r="F343" s="3">
        <f t="array" ref="F343">_xlfn.POISSON.DIST(D343,$B$343,TRUE)</f>
        <v>4.8476564833056499E-2</v>
      </c>
      <c r="G343" s="3">
        <f t="array" ref="G343">_xlfn.BINOM.DIST(D343,$B$337,$B$338,FALSE)</f>
        <v>2.1023378544160205E-2</v>
      </c>
    </row>
    <row r="344" spans="1:7" x14ac:dyDescent="0.25">
      <c r="A344" s="2" t="s">
        <v>14</v>
      </c>
      <c r="B344" s="2">
        <f t="array" ref="B344">B337*B338*(1-B338)</f>
        <v>5.7720000000000002</v>
      </c>
      <c r="D344" s="3">
        <v>4</v>
      </c>
      <c r="E344" s="3">
        <f t="array" ref="E344">_xlfn.POISSON.DIST(D344,$B$343,FALSE)</f>
        <v>6.3193179967065125E-2</v>
      </c>
      <c r="F344" s="3">
        <f t="array" ref="F344">_xlfn.POISSON.DIST(D344,$B$343,TRUE)</f>
        <v>0.11166974480012161</v>
      </c>
      <c r="G344" s="3">
        <f t="array" ref="G344">_xlfn.BINOM.DIST(D344,$B$337,$B$338,FALSE)</f>
        <v>4.9859499114866423E-2</v>
      </c>
    </row>
    <row r="345" spans="1:7" x14ac:dyDescent="0.25">
      <c r="A345" s="2" t="s">
        <v>15</v>
      </c>
      <c r="B345" s="2">
        <f t="array" ref="B345">SQRT(B344)</f>
        <v>2.40249869927124</v>
      </c>
      <c r="D345" s="3">
        <v>5</v>
      </c>
      <c r="E345" s="3">
        <f t="array" ref="E345">_xlfn.POISSON.DIST(D345,$B$343,FALSE)</f>
        <v>9.8581360748621574E-2</v>
      </c>
      <c r="F345" s="3">
        <f t="array" ref="F345">_xlfn.POISSON.DIST(D345,$B$343,TRUE)</f>
        <v>0.21025110554874313</v>
      </c>
      <c r="G345" s="3">
        <f t="array" ref="G345">_xlfn.BINOM.DIST(D345,$B$337,$B$338,FALSE)</f>
        <v>9.1094652436891202E-2</v>
      </c>
    </row>
    <row r="346" spans="1:7" x14ac:dyDescent="0.25">
      <c r="D346" s="3">
        <v>6</v>
      </c>
      <c r="E346" s="3">
        <f t="array" ref="E346">_xlfn.POISSON.DIST(D346,$B$343,FALSE)</f>
        <v>0.12815576897320802</v>
      </c>
      <c r="F346" s="3">
        <f t="array" ref="F346">_xlfn.POISSON.DIST(D346,$B$343,TRUE)</f>
        <v>0.33840687452195117</v>
      </c>
      <c r="G346" s="3">
        <f t="array" ref="G346">_xlfn.BINOM.DIST(D346,$B$337,$B$338,FALSE)</f>
        <v>0.1333592884774307</v>
      </c>
    </row>
    <row r="347" spans="1:7" x14ac:dyDescent="0.25">
      <c r="D347" s="3">
        <v>7</v>
      </c>
      <c r="E347" s="3">
        <f t="array" ref="E347">_xlfn.POISSON.DIST(D347,$B$343,FALSE)</f>
        <v>0.14280214257014615</v>
      </c>
      <c r="F347" s="3">
        <f t="array" ref="F347">_xlfn.POISSON.DIST(D347,$B$343,TRUE)</f>
        <v>0.4812090170920974</v>
      </c>
      <c r="G347" s="3">
        <f t="array" ref="G347">_xlfn.BINOM.DIST(D347,$B$337,$B$338,FALSE)</f>
        <v>0.16064902704617143</v>
      </c>
    </row>
    <row r="348" spans="1:7" x14ac:dyDescent="0.25">
      <c r="D348" s="3">
        <v>8</v>
      </c>
      <c r="E348" s="3">
        <f t="array" ref="E348">_xlfn.POISSON.DIST(D348,$B$343,FALSE)</f>
        <v>0.13923208900589248</v>
      </c>
      <c r="F348" s="3">
        <f t="array" ref="F348">_xlfn.POISSON.DIST(D348,$B$343,TRUE)</f>
        <v>0.62044110609798997</v>
      </c>
      <c r="G348" s="3">
        <f t="array" ref="G348">_xlfn.BINOM.DIST(D348,$B$337,$B$338,FALSE)</f>
        <v>0.1622772266446123</v>
      </c>
    </row>
    <row r="349" spans="1:7" x14ac:dyDescent="0.25">
      <c r="D349" s="3">
        <v>9</v>
      </c>
      <c r="E349" s="3">
        <f t="array" ref="E349">_xlfn.POISSON.DIST(D349,$B$343,FALSE)</f>
        <v>0.12066781047177347</v>
      </c>
      <c r="F349" s="3">
        <f t="array" ref="F349">_xlfn.POISSON.DIST(D349,$B$343,TRUE)</f>
        <v>0.74110891656976352</v>
      </c>
      <c r="G349" s="3">
        <f t="array" ref="G349">_xlfn.BINOM.DIST(D349,$B$337,$B$338,FALSE)</f>
        <v>0.13937323369477217</v>
      </c>
    </row>
    <row r="350" spans="1:7" x14ac:dyDescent="0.25">
      <c r="D350" s="3">
        <v>10</v>
      </c>
      <c r="E350" s="3">
        <f t="array" ref="E350">_xlfn.POISSON.DIST(D350,$B$343,FALSE)</f>
        <v>9.4120892167983278E-2</v>
      </c>
      <c r="F350" s="3">
        <f t="array" ref="F350">_xlfn.POISSON.DIST(D350,$B$343,TRUE)</f>
        <v>0.83522980873774655</v>
      </c>
      <c r="G350" s="3">
        <f t="array" ref="G350">_xlfn.BINOM.DIST(D350,$B$337,$B$338,FALSE)</f>
        <v>0.10283484540181836</v>
      </c>
    </row>
    <row r="351" spans="1:7" x14ac:dyDescent="0.25">
      <c r="D351" s="3">
        <v>11</v>
      </c>
      <c r="E351" s="3">
        <f t="array" ref="E351">_xlfn.POISSON.DIST(D351,$B$343,FALSE)</f>
        <v>6.6740268991842724E-2</v>
      </c>
      <c r="F351" s="3">
        <f t="array" ref="F351">_xlfn.POISSON.DIST(D351,$B$343,TRUE)</f>
        <v>0.90197007772958937</v>
      </c>
      <c r="G351" s="3">
        <f t="array" ref="G351">_xlfn.BINOM.DIST(D351,$B$337,$B$338,FALSE)</f>
        <v>6.5693021632611259E-2</v>
      </c>
    </row>
    <row r="352" spans="1:7" x14ac:dyDescent="0.25">
      <c r="D352" s="3">
        <v>12</v>
      </c>
      <c r="E352" s="3">
        <f t="array" ref="E352">_xlfn.POISSON.DIST(D352,$B$343,FALSE)</f>
        <v>4.3381174844697765E-2</v>
      </c>
      <c r="F352" s="3">
        <f t="array" ref="F352">_xlfn.POISSON.DIST(D352,$B$343,TRUE)</f>
        <v>0.94535125257428709</v>
      </c>
      <c r="G352" s="3">
        <f t="array" ref="G352">_xlfn.BINOM.DIST(D352,$B$337,$B$338,FALSE)</f>
        <v>3.6545442214538232E-2</v>
      </c>
    </row>
    <row r="353" spans="4:7" x14ac:dyDescent="0.25">
      <c r="D353" s="3">
        <v>13</v>
      </c>
      <c r="E353" s="3">
        <f t="array" ref="E353">_xlfn.POISSON.DIST(D353,$B$343,FALSE)</f>
        <v>2.6028704906818658E-2</v>
      </c>
      <c r="F353" s="3">
        <f t="array" ref="F353">_xlfn.POISSON.DIST(D353,$B$343,TRUE)</f>
        <v>0.97137995748110573</v>
      </c>
      <c r="G353" s="3">
        <f t="array" ref="G353">_xlfn.BINOM.DIST(D353,$B$337,$B$338,FALSE)</f>
        <v>1.7778863780045614E-2</v>
      </c>
    </row>
    <row r="354" spans="4:7" x14ac:dyDescent="0.25">
      <c r="D354" s="3">
        <v>14</v>
      </c>
      <c r="E354" s="3">
        <f t="array" ref="E354">_xlfn.POISSON.DIST(D354,$B$343,FALSE)</f>
        <v>1.4501707019513241E-2</v>
      </c>
      <c r="F354" s="3">
        <f t="array" ref="F354">_xlfn.POISSON.DIST(D354,$B$343,TRUE)</f>
        <v>0.98588166450061898</v>
      </c>
      <c r="G354" s="3">
        <f t="array" ref="G354">_xlfn.BINOM.DIST(D354,$B$337,$B$338,FALSE)</f>
        <v>7.5851909177414743E-3</v>
      </c>
    </row>
    <row r="355" spans="4:7" x14ac:dyDescent="0.25">
      <c r="D355" s="3">
        <v>15</v>
      </c>
      <c r="E355" s="3">
        <f t="array" ref="E355">_xlfn.POISSON.DIST(D355,$B$343,FALSE)</f>
        <v>7.5408876501469012E-3</v>
      </c>
      <c r="F355" s="3">
        <f t="array" ref="F355">_xlfn.POISSON.DIST(D355,$B$343,TRUE)</f>
        <v>0.99342255215076591</v>
      </c>
      <c r="G355" s="3">
        <f t="array" ref="G355">_xlfn.BINOM.DIST(D355,$B$337,$B$338,FALSE)</f>
        <v>2.8427382178202311E-3</v>
      </c>
    </row>
    <row r="356" spans="4:7" x14ac:dyDescent="0.25">
      <c r="D356" s="3">
        <v>16</v>
      </c>
      <c r="E356" s="3">
        <f t="array" ref="E356">_xlfn.POISSON.DIST(D356,$B$343,FALSE)</f>
        <v>3.6761827294466104E-3</v>
      </c>
      <c r="F356" s="3">
        <f t="array" ref="F356">_xlfn.POISSON.DIST(D356,$B$343,TRUE)</f>
        <v>0.9970987348802125</v>
      </c>
      <c r="G356" s="3">
        <f t="array" ref="G356">_xlfn.BINOM.DIST(D356,$B$337,$B$338,FALSE)</f>
        <v>9.3637491972119191E-4</v>
      </c>
    </row>
    <row r="357" spans="4:7" x14ac:dyDescent="0.25">
      <c r="D357" s="3">
        <v>17</v>
      </c>
      <c r="E357" s="3">
        <f t="array" ref="E357">_xlfn.POISSON.DIST(D357,$B$343,FALSE)</f>
        <v>1.6867191346872708E-3</v>
      </c>
      <c r="F357" s="3">
        <f t="array" ref="F357">_xlfn.POISSON.DIST(D357,$B$343,TRUE)</f>
        <v>0.99878545401489971</v>
      </c>
      <c r="G357" s="3">
        <f t="array" ref="G357">_xlfn.BINOM.DIST(D357,$B$337,$B$338,FALSE)</f>
        <v>2.7093837104810302E-4</v>
      </c>
    </row>
    <row r="358" spans="4:7" x14ac:dyDescent="0.25">
      <c r="D358" s="3">
        <v>18</v>
      </c>
      <c r="E358" s="3">
        <f t="array" ref="E358">_xlfn.POISSON.DIST(D358,$B$343,FALSE)</f>
        <v>7.3091162503115064E-4</v>
      </c>
      <c r="F358" s="3">
        <f t="array" ref="F358">_xlfn.POISSON.DIST(D358,$B$343,TRUE)</f>
        <v>0.99951636563993096</v>
      </c>
      <c r="G358" s="3">
        <f t="array" ref="G358">_xlfn.BINOM.DIST(D358,$B$337,$B$338,FALSE)</f>
        <v>6.8751628689383491E-5</v>
      </c>
    </row>
    <row r="359" spans="4:7" x14ac:dyDescent="0.25">
      <c r="D359" s="3">
        <v>19</v>
      </c>
      <c r="E359" s="3">
        <f t="array" ref="E359">_xlfn.POISSON.DIST(D359,$B$343,FALSE)</f>
        <v>3.0005845659173563E-4</v>
      </c>
      <c r="F359" s="3">
        <f t="array" ref="F359">_xlfn.POISSON.DIST(D359,$B$343,TRUE)</f>
        <v>0.9998164240965226</v>
      </c>
      <c r="G359" s="3">
        <f t="array" ref="G359">_xlfn.BINOM.DIST(D359,$B$337,$B$338,FALSE)</f>
        <v>1.5256406935339756E-5</v>
      </c>
    </row>
    <row r="360" spans="4:7" x14ac:dyDescent="0.25">
      <c r="D360" s="3">
        <v>20</v>
      </c>
      <c r="E360" s="3">
        <f t="array" ref="E360">_xlfn.POISSON.DIST(D360,$B$343,FALSE)</f>
        <v>1.170227980707769E-4</v>
      </c>
      <c r="F360" s="3">
        <f t="array" ref="F360">_xlfn.POISSON.DIST(D360,$B$343,TRUE)</f>
        <v>0.99993344689459351</v>
      </c>
      <c r="G360" s="3">
        <f t="array" ref="G360">_xlfn.BINOM.DIST(D360,$B$337,$B$338,FALSE)</f>
        <v>2.9481975564237621E-6</v>
      </c>
    </row>
    <row r="361" spans="4:7" x14ac:dyDescent="0.25">
      <c r="D361" s="3">
        <v>21</v>
      </c>
      <c r="E361" s="3">
        <f t="array" ref="E361">_xlfn.POISSON.DIST(D361,$B$343,FALSE)</f>
        <v>4.3465610712002783E-5</v>
      </c>
      <c r="F361" s="3">
        <f t="array" ref="F361">_xlfn.POISSON.DIST(D361,$B$343,TRUE)</f>
        <v>0.99997691250530552</v>
      </c>
      <c r="G361" s="3">
        <f t="array" ref="G361">_xlfn.BINOM.DIST(D361,$B$337,$B$338,FALSE)</f>
        <v>4.9326342642868528E-7</v>
      </c>
    </row>
    <row r="362" spans="4:7" x14ac:dyDescent="0.25">
      <c r="D362" s="3">
        <v>22</v>
      </c>
      <c r="E362" s="3">
        <f t="array" ref="E362">_xlfn.POISSON.DIST(D362,$B$343,FALSE)</f>
        <v>1.5410534706982833E-5</v>
      </c>
      <c r="F362" s="3">
        <f t="array" ref="F362">_xlfn.POISSON.DIST(D362,$B$343,TRUE)</f>
        <v>0.99999232304001251</v>
      </c>
      <c r="G362" s="3">
        <f t="array" ref="G362">_xlfn.BINOM.DIST(D362,$B$337,$B$338,FALSE)</f>
        <v>7.0899042865056788E-8</v>
      </c>
    </row>
    <row r="363" spans="4:7" x14ac:dyDescent="0.25">
      <c r="D363" s="3">
        <v>23</v>
      </c>
      <c r="E363" s="3">
        <f t="array" ref="E363">_xlfn.POISSON.DIST(D363,$B$343,FALSE)</f>
        <v>5.2261813354115477E-6</v>
      </c>
      <c r="F363" s="3">
        <f t="array" ref="F363">_xlfn.POISSON.DIST(D363,$B$343,TRUE)</f>
        <v>0.99999754922134787</v>
      </c>
      <c r="G363" s="3">
        <f t="array" ref="G363">_xlfn.BINOM.DIST(D363,$B$337,$B$338,FALSE)</f>
        <v>8.6645128765756699E-9</v>
      </c>
    </row>
    <row r="364" spans="4:7" x14ac:dyDescent="0.25">
      <c r="D364" s="3">
        <v>24</v>
      </c>
      <c r="E364" s="3">
        <f t="array" ref="E364">_xlfn.POISSON.DIST(D364,$B$343,FALSE)</f>
        <v>1.6985089340087561E-6</v>
      </c>
      <c r="F364" s="3">
        <f t="array" ref="F364">_xlfn.POISSON.DIST(D364,$B$343,TRUE)</f>
        <v>0.99999924773028193</v>
      </c>
      <c r="G364" s="3">
        <f t="array" ref="G364">_xlfn.BINOM.DIST(D364,$B$337,$B$338,FALSE)</f>
        <v>8.8791742316259433E-10</v>
      </c>
    </row>
    <row r="365" spans="4:7" x14ac:dyDescent="0.25">
      <c r="D365" s="3">
        <v>25</v>
      </c>
      <c r="E365" s="3">
        <f t="array" ref="E365">_xlfn.POISSON.DIST(D365,$B$343,FALSE)</f>
        <v>5.2993478741073409E-7</v>
      </c>
      <c r="F365" s="3">
        <f t="array" ref="F365">_xlfn.POISSON.DIST(D365,$B$343,TRUE)</f>
        <v>0.99999977766506931</v>
      </c>
      <c r="G365" s="3">
        <f t="array" ref="G365">_xlfn.BINOM.DIST(D365,$B$337,$B$338,FALSE)</f>
        <v>7.4873036763981652E-11</v>
      </c>
    </row>
    <row r="366" spans="4:7" x14ac:dyDescent="0.25">
      <c r="D366" s="3">
        <v>26</v>
      </c>
      <c r="E366" s="3">
        <f t="array" ref="E366">_xlfn.POISSON.DIST(D366,$B$343,FALSE)</f>
        <v>1.5898043622321992E-7</v>
      </c>
      <c r="F366" s="3">
        <f t="array" ref="F366">_xlfn.POISSON.DIST(D366,$B$343,TRUE)</f>
        <v>0.99999993664550546</v>
      </c>
      <c r="G366" s="3">
        <f t="array" ref="G366">_xlfn.BINOM.DIST(D366,$B$337,$B$338,FALSE)</f>
        <v>5.0589889705392721E-12</v>
      </c>
    </row>
    <row r="367" spans="4:7" x14ac:dyDescent="0.25">
      <c r="D367" s="3">
        <v>27</v>
      </c>
      <c r="E367" s="3">
        <f t="array" ref="E367">_xlfn.POISSON.DIST(D367,$B$343,FALSE)</f>
        <v>4.5927681575596905E-8</v>
      </c>
      <c r="F367" s="3">
        <f t="array" ref="F367">_xlfn.POISSON.DIST(D367,$B$343,TRUE)</f>
        <v>0.99999998257318712</v>
      </c>
      <c r="G367" s="3">
        <f t="array" ref="G367">_xlfn.BINOM.DIST(D367,$B$337,$B$338,FALSE)</f>
        <v>2.6333075722526789E-13</v>
      </c>
    </row>
    <row r="368" spans="4:7" x14ac:dyDescent="0.25">
      <c r="D368" s="3">
        <v>28</v>
      </c>
      <c r="E368" s="3">
        <f t="array" ref="E368">_xlfn.POISSON.DIST(D368,$B$343,FALSE)</f>
        <v>1.2794139867487716E-8</v>
      </c>
      <c r="F368" s="3">
        <f t="array" ref="F368">_xlfn.POISSON.DIST(D368,$B$343,TRUE)</f>
        <v>0.99999999536732687</v>
      </c>
      <c r="G368" s="3">
        <f t="array" ref="G368">_xlfn.BINOM.DIST(D368,$B$337,$B$338,FALSE)</f>
        <v>9.9130304360863293E-15</v>
      </c>
    </row>
    <row r="369" spans="4:7" x14ac:dyDescent="0.25">
      <c r="D369" s="3">
        <v>29</v>
      </c>
      <c r="E369" s="3">
        <f t="array" ref="E369">_xlfn.POISSON.DIST(D369,$B$343,FALSE)</f>
        <v>3.4411824471173739E-9</v>
      </c>
      <c r="F369" s="3">
        <f t="array" ref="F369">_xlfn.POISSON.DIST(D369,$B$343,TRUE)</f>
        <v>0.99999999880850932</v>
      </c>
      <c r="G369" s="3">
        <f t="array" ref="G369">_xlfn.BINOM.DIST(D369,$B$337,$B$338,FALSE)</f>
        <v>2.4020390618662112E-16</v>
      </c>
    </row>
    <row r="370" spans="4:7" x14ac:dyDescent="0.25">
      <c r="D370" s="3">
        <v>30</v>
      </c>
      <c r="E370" s="3">
        <f t="array" ref="E370">_xlfn.POISSON.DIST(D370,$B$343,FALSE)</f>
        <v>8.9470743625052054E-10</v>
      </c>
      <c r="F370" s="3">
        <f t="array" ref="F370">_xlfn.POISSON.DIST(D370,$B$343,TRUE)</f>
        <v>0.99999999970321674</v>
      </c>
      <c r="G370" s="3">
        <f t="array" ref="G370">_xlfn.BINOM.DIST(D370,$B$337,$B$338,FALSE)</f>
        <v>2.8131989012847592E-18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 distribution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Khan</dc:creator>
  <cp:lastModifiedBy>Kasim Khan</cp:lastModifiedBy>
  <dcterms:created xsi:type="dcterms:W3CDTF">2025-10-11T04:22:31Z</dcterms:created>
  <dcterms:modified xsi:type="dcterms:W3CDTF">2025-10-12T04:57:08Z</dcterms:modified>
</cp:coreProperties>
</file>