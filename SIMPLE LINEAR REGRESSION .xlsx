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06541253-B177-4FDD-B68A-C78A6ED3B69A}" xr6:coauthVersionLast="47" xr6:coauthVersionMax="47" xr10:uidLastSave="{00000000-0000-0000-0000-000000000000}"/>
  <bookViews>
    <workbookView xWindow="-110" yWindow="-110" windowWidth="19420" windowHeight="10420" xr2:uid="{B1585312-C1A8-426D-834E-35C1EA2E98F9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0" i="2" l="1"/>
  <c r="B289" i="2"/>
  <c r="B284" i="2"/>
  <c r="B283" i="2"/>
  <c r="B288" i="2" s="1"/>
  <c r="E267" i="2"/>
  <c r="E266" i="2"/>
  <c r="D266" i="2"/>
  <c r="C268" i="2"/>
  <c r="C267" i="2"/>
  <c r="C266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D267" i="2"/>
  <c r="E197" i="2"/>
  <c r="B197" i="2"/>
  <c r="B285" i="2" l="1"/>
  <c r="B286" i="2"/>
  <c r="E284" i="2" s="1"/>
  <c r="B287" i="2"/>
  <c r="E283" i="2" l="1"/>
  <c r="E285" i="2" s="1"/>
  <c r="E286" i="2" s="1"/>
  <c r="E198" i="2" l="1"/>
  <c r="B204" i="2"/>
  <c r="B203" i="2"/>
  <c r="B202" i="2"/>
  <c r="B200" i="2"/>
  <c r="B199" i="2"/>
  <c r="B198" i="2"/>
  <c r="E180" i="2"/>
  <c r="D180" i="2"/>
  <c r="C180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B99" i="2"/>
  <c r="B103" i="2" s="1"/>
  <c r="E99" i="2" s="1"/>
  <c r="B106" i="2"/>
  <c r="B105" i="2"/>
  <c r="B102" i="2"/>
  <c r="B101" i="2"/>
  <c r="B100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B201" i="2" l="1"/>
  <c r="B104" i="2"/>
  <c r="E100" i="2"/>
  <c r="E101" i="2" s="1"/>
  <c r="E102" i="2" s="1"/>
  <c r="E199" i="2" l="1"/>
  <c r="E200" i="2" s="1"/>
  <c r="D92" i="2"/>
  <c r="E92" i="2" s="1"/>
  <c r="D80" i="2"/>
  <c r="E80" i="2" s="1"/>
  <c r="D79" i="2"/>
  <c r="E79" i="2" s="1"/>
  <c r="D88" i="2"/>
  <c r="E88" i="2" s="1"/>
  <c r="D86" i="2"/>
  <c r="E86" i="2" s="1"/>
  <c r="D76" i="2"/>
  <c r="E76" i="2" s="1"/>
  <c r="D84" i="2"/>
  <c r="E84" i="2" s="1"/>
  <c r="D82" i="2"/>
  <c r="E82" i="2" s="1"/>
  <c r="D91" i="2"/>
  <c r="E91" i="2" s="1"/>
  <c r="D90" i="2"/>
  <c r="E90" i="2" s="1"/>
  <c r="D89" i="2"/>
  <c r="E89" i="2" s="1"/>
  <c r="D78" i="2"/>
  <c r="E78" i="2" s="1"/>
  <c r="D77" i="2"/>
  <c r="E77" i="2" s="1"/>
  <c r="D87" i="2"/>
  <c r="E87" i="2" s="1"/>
  <c r="D85" i="2"/>
  <c r="E85" i="2" s="1"/>
  <c r="D75" i="2"/>
  <c r="E75" i="2" s="1"/>
  <c r="D93" i="2"/>
  <c r="E93" i="2" s="1"/>
  <c r="D83" i="2"/>
  <c r="E83" i="2" s="1"/>
  <c r="D81" i="2"/>
  <c r="E81" i="2" s="1"/>
  <c r="D74" i="2"/>
  <c r="E74" i="2" s="1"/>
  <c r="E28" i="2" l="1"/>
  <c r="E29" i="2"/>
  <c r="E27" i="2"/>
  <c r="E26" i="2"/>
  <c r="B33" i="2"/>
  <c r="B32" i="2"/>
  <c r="B31" i="2"/>
  <c r="B29" i="2"/>
  <c r="B28" i="2"/>
  <c r="B27" i="2"/>
  <c r="B26" i="2"/>
  <c r="B30" i="2" s="1"/>
  <c r="E9" i="2"/>
  <c r="D9" i="2"/>
  <c r="C9" i="2"/>
  <c r="E10" i="2" l="1"/>
  <c r="C10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</calcChain>
</file>

<file path=xl/sharedStrings.xml><?xml version="1.0" encoding="utf-8"?>
<sst xmlns="http://schemas.openxmlformats.org/spreadsheetml/2006/main" count="230" uniqueCount="77">
  <si>
    <t>X</t>
  </si>
  <si>
    <t>Y</t>
  </si>
  <si>
    <t>X^2</t>
  </si>
  <si>
    <t>X*Y</t>
  </si>
  <si>
    <t>Y^2</t>
  </si>
  <si>
    <t>n</t>
  </si>
  <si>
    <t>X̄</t>
  </si>
  <si>
    <t>Ȳ</t>
  </si>
  <si>
    <t>Sxx</t>
  </si>
  <si>
    <t>Sxy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</si>
  <si>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</si>
  <si>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</si>
  <si>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</si>
  <si>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</si>
  <si>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</si>
  <si>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</si>
  <si>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</si>
  <si>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</si>
  <si>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</si>
  <si>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</si>
  <si>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</si>
  <si>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</si>
  <si>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</si>
  <si>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</si>
  <si>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</si>
  <si>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</si>
  <si>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</si>
  <si>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</si>
  <si>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</si>
  <si>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</si>
  <si>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</si>
  <si>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</si>
  <si>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</si>
  <si>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</si>
  <si>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</si>
  <si>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</si>
  <si>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</si>
  <si>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</si>
  <si>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</si>
  <si>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</si>
  <si>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</si>
  <si>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 xml:space="preserve">EXAMPLE  -12.4 </t>
  </si>
  <si>
    <t xml:space="preserve">IODINE VALUE (X) </t>
  </si>
  <si>
    <t>SAMPLE OF BIOFUELS(Y)</t>
  </si>
  <si>
    <t>SIMPLE LINEAR REGRESSION</t>
  </si>
  <si>
    <t>EXAMPLE-12.6</t>
  </si>
  <si>
    <t>Obs</t>
  </si>
  <si>
    <t>Filtrate(X)</t>
  </si>
  <si>
    <t>Moistcon(Y)</t>
  </si>
  <si>
    <t>Residual(Y-Y^)</t>
  </si>
  <si>
    <t>EQN OF ESTIMATED REGRESSION LINE (LEAST SQUARE LINE)</t>
  </si>
  <si>
    <t>75.21243193+(-0.209387416)X</t>
  </si>
  <si>
    <t>∑Xi^2</t>
  </si>
  <si>
    <t>∑Xi</t>
  </si>
  <si>
    <t>∑Yi</t>
  </si>
  <si>
    <t>∑Xi*Yi</t>
  </si>
  <si>
    <t>(∑Xi)^2</t>
  </si>
  <si>
    <t>∑Yi^2</t>
  </si>
  <si>
    <t>ϐ^1=Sxy/Sxx</t>
  </si>
  <si>
    <t>ϐ^0=Ȳ-ϐ1^X̄</t>
  </si>
  <si>
    <r>
      <t>Y=</t>
    </r>
    <r>
      <rPr>
        <b/>
        <sz val="11"/>
        <color theme="1"/>
        <rFont val="Aptos Narrow"/>
        <family val="2"/>
      </rPr>
      <t>ϐ0^+ϐ1^</t>
    </r>
    <r>
      <rPr>
        <b/>
        <sz val="11"/>
        <color theme="1"/>
        <rFont val="Calibri"/>
        <family val="2"/>
        <scheme val="minor"/>
      </rPr>
      <t>X</t>
    </r>
  </si>
  <si>
    <r>
      <t>Y^=</t>
    </r>
    <r>
      <rPr>
        <b/>
        <sz val="11"/>
        <color theme="1"/>
        <rFont val="Aptos Narrow"/>
        <family val="2"/>
      </rPr>
      <t>ϐ^0+ϐ^1X</t>
    </r>
  </si>
  <si>
    <t>FIT  Y^(Predicted y)</t>
  </si>
  <si>
    <t>Predicted 77.9</t>
  </si>
  <si>
    <t>QUESTION NO-1</t>
  </si>
  <si>
    <t xml:space="preserve">QUESTION -2 </t>
  </si>
  <si>
    <t>QUESTION NO-3</t>
  </si>
  <si>
    <t>29.77956049+0.019778617X</t>
  </si>
  <si>
    <t>IRON(X)</t>
  </si>
  <si>
    <t>STEEL (Y)</t>
  </si>
  <si>
    <t>72.95854697+0.04103377 X</t>
  </si>
  <si>
    <t>QUESTION -4</t>
  </si>
  <si>
    <t>Predicted 17</t>
  </si>
  <si>
    <t>16.66345723+0.000750083X</t>
  </si>
  <si>
    <t>COFFE(X)</t>
  </si>
  <si>
    <t>TEA (Y)</t>
  </si>
  <si>
    <t>Predicted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</si>
</sst>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</a:rPr>
              <a:t>NUMBER OF BIODIESEL FUELS TO FATTY ACIDS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'sheet 1'!$B$8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'sheet 1'!$A$9:$A$22</c:f>
              <c:numCache>
                <c:formatCode>General</c:formatCode>
                <c:ptCount val="14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  <c:pt idx="3">
                  <c:v>113.2</c:v>
                </c:pt>
                <c:pt idx="4">
                  <c:v>105</c:v>
                </c:pt>
                <c:pt idx="5">
                  <c:v>92</c:v>
                </c:pt>
                <c:pt idx="6">
                  <c:v>84</c:v>
                </c:pt>
                <c:pt idx="7">
                  <c:v>83.2</c:v>
                </c:pt>
                <c:pt idx="8">
                  <c:v>88.4</c:v>
                </c:pt>
                <c:pt idx="9">
                  <c:v>59</c:v>
                </c:pt>
                <c:pt idx="10">
                  <c:v>80</c:v>
                </c:pt>
                <c:pt idx="11">
                  <c:v>81.5</c:v>
                </c:pt>
                <c:pt idx="12">
                  <c:v>71</c:v>
                </c:pt>
                <c:pt idx="13">
                  <c:v>69.2</c:v>
                </c:pt>
              </c:numCache>
            </c:numRef>
          </c:xVal>
          <c:yVal>
            <c:numRef>
              <c:f>'sheet 1'!$B$9:$B$22</c:f>
              <c:numCache>
                <c:formatCode>General</c:formatCode>
                <c:ptCount val="14"/>
                <c:pt idx="0">
                  <c:v>46</c:v>
                </c:pt>
                <c:pt idx="1">
                  <c:v>48</c:v>
                </c:pt>
                <c:pt idx="2">
                  <c:v>51</c:v>
                </c:pt>
                <c:pt idx="3">
                  <c:v>52.1</c:v>
                </c:pt>
                <c:pt idx="4">
                  <c:v>54</c:v>
                </c:pt>
                <c:pt idx="5">
                  <c:v>52</c:v>
                </c:pt>
                <c:pt idx="6">
                  <c:v>59</c:v>
                </c:pt>
                <c:pt idx="7">
                  <c:v>58.7</c:v>
                </c:pt>
                <c:pt idx="8">
                  <c:v>61.6</c:v>
                </c:pt>
                <c:pt idx="9">
                  <c:v>64</c:v>
                </c:pt>
                <c:pt idx="10">
                  <c:v>61.4</c:v>
                </c:pt>
                <c:pt idx="11">
                  <c:v>54.6</c:v>
                </c:pt>
                <c:pt idx="12">
                  <c:v>58.8</c:v>
                </c:pt>
                <c:pt idx="1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7D-4A5A-9431-F882703E3DF9}"/>
            </c:ext>
          </c:extLst>
        </c:ser>
        <c:ser>
          <c:idx val="0"/>
          <c:order val="1"/>
          <c:tx>
            <c:strRef>
              <c:f>'sheet 1'!$B$8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1'!$A$9:$A$22</c:f>
              <c:numCache>
                <c:formatCode>General</c:formatCode>
                <c:ptCount val="14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  <c:pt idx="3">
                  <c:v>113.2</c:v>
                </c:pt>
                <c:pt idx="4">
                  <c:v>105</c:v>
                </c:pt>
                <c:pt idx="5">
                  <c:v>92</c:v>
                </c:pt>
                <c:pt idx="6">
                  <c:v>84</c:v>
                </c:pt>
                <c:pt idx="7">
                  <c:v>83.2</c:v>
                </c:pt>
                <c:pt idx="8">
                  <c:v>88.4</c:v>
                </c:pt>
                <c:pt idx="9">
                  <c:v>59</c:v>
                </c:pt>
                <c:pt idx="10">
                  <c:v>80</c:v>
                </c:pt>
                <c:pt idx="11">
                  <c:v>81.5</c:v>
                </c:pt>
                <c:pt idx="12">
                  <c:v>71</c:v>
                </c:pt>
                <c:pt idx="13">
                  <c:v>69.2</c:v>
                </c:pt>
              </c:numCache>
            </c:numRef>
          </c:xVal>
          <c:yVal>
            <c:numRef>
              <c:f>'sheet 1'!$B$9:$B$22</c:f>
              <c:numCache>
                <c:formatCode>General</c:formatCode>
                <c:ptCount val="14"/>
                <c:pt idx="0">
                  <c:v>46</c:v>
                </c:pt>
                <c:pt idx="1">
                  <c:v>48</c:v>
                </c:pt>
                <c:pt idx="2">
                  <c:v>51</c:v>
                </c:pt>
                <c:pt idx="3">
                  <c:v>52.1</c:v>
                </c:pt>
                <c:pt idx="4">
                  <c:v>54</c:v>
                </c:pt>
                <c:pt idx="5">
                  <c:v>52</c:v>
                </c:pt>
                <c:pt idx="6">
                  <c:v>59</c:v>
                </c:pt>
                <c:pt idx="7">
                  <c:v>58.7</c:v>
                </c:pt>
                <c:pt idx="8">
                  <c:v>61.6</c:v>
                </c:pt>
                <c:pt idx="9">
                  <c:v>64</c:v>
                </c:pt>
                <c:pt idx="10">
                  <c:v>61.4</c:v>
                </c:pt>
                <c:pt idx="11">
                  <c:v>54.6</c:v>
                </c:pt>
                <c:pt idx="12">
                  <c:v>58.8</c:v>
                </c:pt>
                <c:pt idx="1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D-4A5A-9431-F882703E3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71104"/>
        <c:axId val="1089272064"/>
      </c:scatterChart>
      <c:valAx>
        <c:axId val="10892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72064"/>
        <c:crosses val="autoZero"/>
        <c:crossBetween val="midCat"/>
      </c:valAx>
      <c:valAx>
        <c:axId val="10892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71104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  <c:extLst/>
  </c:chart>
  <c:spPr>
    <a:solidFill>
      <a:srgbClr val="FFFF00"/>
    </a:solidFill>
    <a:ln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1'!$A$9:$A$22</c:f>
              <c:numCache>
                <c:formatCode>General</c:formatCode>
                <c:ptCount val="14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  <c:pt idx="3">
                  <c:v>113.2</c:v>
                </c:pt>
                <c:pt idx="4">
                  <c:v>105</c:v>
                </c:pt>
                <c:pt idx="5">
                  <c:v>92</c:v>
                </c:pt>
                <c:pt idx="6">
                  <c:v>84</c:v>
                </c:pt>
                <c:pt idx="7">
                  <c:v>83.2</c:v>
                </c:pt>
                <c:pt idx="8">
                  <c:v>88.4</c:v>
                </c:pt>
                <c:pt idx="9">
                  <c:v>59</c:v>
                </c:pt>
                <c:pt idx="10">
                  <c:v>80</c:v>
                </c:pt>
                <c:pt idx="11">
                  <c:v>81.5</c:v>
                </c:pt>
                <c:pt idx="12">
                  <c:v>71</c:v>
                </c:pt>
                <c:pt idx="13">
                  <c:v>69.2</c:v>
                </c:pt>
              </c:numCache>
            </c:numRef>
          </c:xVal>
          <c:yVal>
            <c:numRef>
              <c:f>'sheet 1'!$O$48:$O$61</c:f>
              <c:numCache>
                <c:formatCode>General</c:formatCode>
                <c:ptCount val="14"/>
                <c:pt idx="0">
                  <c:v>-1.5732929562194045</c:v>
                </c:pt>
                <c:pt idx="1">
                  <c:v>-0.20145520568986797</c:v>
                </c:pt>
                <c:pt idx="2">
                  <c:v>0.91405804589874151</c:v>
                </c:pt>
                <c:pt idx="3">
                  <c:v>0.59022361376569421</c:v>
                </c:pt>
                <c:pt idx="4">
                  <c:v>0.77324679854642397</c:v>
                </c:pt>
                <c:pt idx="5">
                  <c:v>-3.9487896158255751</c:v>
                </c:pt>
                <c:pt idx="6">
                  <c:v>1.3761110522531936</c:v>
                </c:pt>
                <c:pt idx="7">
                  <c:v>0.90860111906106766</c:v>
                </c:pt>
                <c:pt idx="8">
                  <c:v>4.8974156848098715</c:v>
                </c:pt>
                <c:pt idx="9">
                  <c:v>1.1414256399993334</c:v>
                </c:pt>
                <c:pt idx="10">
                  <c:v>2.9385613862925695</c:v>
                </c:pt>
                <c:pt idx="11">
                  <c:v>-3.5473574889721959</c:v>
                </c:pt>
                <c:pt idx="12">
                  <c:v>-1.5459253621188225</c:v>
                </c:pt>
                <c:pt idx="13">
                  <c:v>-2.7228227118010935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8-44E9-BF8A-B5BD7D84D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47168"/>
        <c:axId val="656537088"/>
      </c:scatterChart>
      <c:valAx>
        <c:axId val="656547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37088"/>
        <c:crosses val="autoZero"/>
        <c:crossBetween val="midCat"/>
      </c:valAx>
      <c:valAx>
        <c:axId val="656537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471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'sheet 1'!$A$9:$A$22</c:f>
              <c:numCache>
                <c:formatCode>General</c:formatCode>
                <c:ptCount val="14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  <c:pt idx="3">
                  <c:v>113.2</c:v>
                </c:pt>
                <c:pt idx="4">
                  <c:v>105</c:v>
                </c:pt>
                <c:pt idx="5">
                  <c:v>92</c:v>
                </c:pt>
                <c:pt idx="6">
                  <c:v>84</c:v>
                </c:pt>
                <c:pt idx="7">
                  <c:v>83.2</c:v>
                </c:pt>
                <c:pt idx="8">
                  <c:v>88.4</c:v>
                </c:pt>
                <c:pt idx="9">
                  <c:v>59</c:v>
                </c:pt>
                <c:pt idx="10">
                  <c:v>80</c:v>
                </c:pt>
                <c:pt idx="11">
                  <c:v>81.5</c:v>
                </c:pt>
                <c:pt idx="12">
                  <c:v>71</c:v>
                </c:pt>
                <c:pt idx="13">
                  <c:v>69.2</c:v>
                </c:pt>
              </c:numCache>
            </c:numRef>
          </c:xVal>
          <c:yVal>
            <c:numRef>
              <c:f>'sheet 1'!$B$9:$B$22</c:f>
              <c:numCache>
                <c:formatCode>General</c:formatCode>
                <c:ptCount val="14"/>
                <c:pt idx="0">
                  <c:v>46</c:v>
                </c:pt>
                <c:pt idx="1">
                  <c:v>48</c:v>
                </c:pt>
                <c:pt idx="2">
                  <c:v>51</c:v>
                </c:pt>
                <c:pt idx="3">
                  <c:v>52.1</c:v>
                </c:pt>
                <c:pt idx="4">
                  <c:v>54</c:v>
                </c:pt>
                <c:pt idx="5">
                  <c:v>52</c:v>
                </c:pt>
                <c:pt idx="6">
                  <c:v>59</c:v>
                </c:pt>
                <c:pt idx="7">
                  <c:v>58.7</c:v>
                </c:pt>
                <c:pt idx="8">
                  <c:v>61.6</c:v>
                </c:pt>
                <c:pt idx="9">
                  <c:v>64</c:v>
                </c:pt>
                <c:pt idx="10">
                  <c:v>61.4</c:v>
                </c:pt>
                <c:pt idx="11">
                  <c:v>54.6</c:v>
                </c:pt>
                <c:pt idx="12">
                  <c:v>58.8</c:v>
                </c:pt>
                <c:pt idx="1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F4-4AAC-9506-E578C237D4A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'sheet 1'!$A$9:$A$22</c:f>
              <c:numCache>
                <c:formatCode>General</c:formatCode>
                <c:ptCount val="14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  <c:pt idx="3">
                  <c:v>113.2</c:v>
                </c:pt>
                <c:pt idx="4">
                  <c:v>105</c:v>
                </c:pt>
                <c:pt idx="5">
                  <c:v>92</c:v>
                </c:pt>
                <c:pt idx="6">
                  <c:v>84</c:v>
                </c:pt>
                <c:pt idx="7">
                  <c:v>83.2</c:v>
                </c:pt>
                <c:pt idx="8">
                  <c:v>88.4</c:v>
                </c:pt>
                <c:pt idx="9">
                  <c:v>59</c:v>
                </c:pt>
                <c:pt idx="10">
                  <c:v>80</c:v>
                </c:pt>
                <c:pt idx="11">
                  <c:v>81.5</c:v>
                </c:pt>
                <c:pt idx="12">
                  <c:v>71</c:v>
                </c:pt>
                <c:pt idx="13">
                  <c:v>69.2</c:v>
                </c:pt>
              </c:numCache>
            </c:numRef>
          </c:xVal>
          <c:yVal>
            <c:numRef>
              <c:f>'sheet 1'!$N$48:$N$61</c:f>
              <c:numCache>
                <c:formatCode>General</c:formatCode>
                <c:ptCount val="14"/>
                <c:pt idx="0">
                  <c:v>47.573292956219404</c:v>
                </c:pt>
                <c:pt idx="1">
                  <c:v>48.201455205689868</c:v>
                </c:pt>
                <c:pt idx="2">
                  <c:v>50.085941954101258</c:v>
                </c:pt>
                <c:pt idx="3">
                  <c:v>51.509776386234307</c:v>
                </c:pt>
                <c:pt idx="4">
                  <c:v>53.226753201453576</c:v>
                </c:pt>
                <c:pt idx="5">
                  <c:v>55.948789615825575</c:v>
                </c:pt>
                <c:pt idx="6">
                  <c:v>57.623888947746806</c:v>
                </c:pt>
                <c:pt idx="7">
                  <c:v>57.791398880938935</c:v>
                </c:pt>
                <c:pt idx="8">
                  <c:v>56.70258431519013</c:v>
                </c:pt>
                <c:pt idx="9">
                  <c:v>62.858574360000667</c:v>
                </c:pt>
                <c:pt idx="10">
                  <c:v>58.461438613707429</c:v>
                </c:pt>
                <c:pt idx="11">
                  <c:v>58.147357488972197</c:v>
                </c:pt>
                <c:pt idx="12">
                  <c:v>60.34592536211882</c:v>
                </c:pt>
                <c:pt idx="13">
                  <c:v>60.722822711801093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F4-4AAC-9506-E578C237D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43328"/>
        <c:axId val="656539488"/>
      </c:scatterChart>
      <c:valAx>
        <c:axId val="6565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39488"/>
        <c:crosses val="autoZero"/>
        <c:crossBetween val="midCat"/>
      </c:valAx>
      <c:valAx>
        <c:axId val="656539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43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1'!$R$48:$R$61</c:f>
              <c:numCache>
                <c:formatCode>General</c:formatCode>
                <c:ptCount val="14"/>
                <c:pt idx="0">
                  <c:v>3.5714285714285716</c:v>
                </c:pt>
                <c:pt idx="1">
                  <c:v>10.714285714285715</c:v>
                </c:pt>
                <c:pt idx="2">
                  <c:v>17.857142857142858</c:v>
                </c:pt>
                <c:pt idx="3">
                  <c:v>25.000000000000004</c:v>
                </c:pt>
                <c:pt idx="4">
                  <c:v>32.142857142857146</c:v>
                </c:pt>
                <c:pt idx="5">
                  <c:v>39.285714285714285</c:v>
                </c:pt>
                <c:pt idx="6">
                  <c:v>46.428571428571431</c:v>
                </c:pt>
                <c:pt idx="7">
                  <c:v>53.571428571428569</c:v>
                </c:pt>
                <c:pt idx="8">
                  <c:v>60.714285714285715</c:v>
                </c:pt>
                <c:pt idx="9">
                  <c:v>67.857142857142861</c:v>
                </c:pt>
                <c:pt idx="10">
                  <c:v>75</c:v>
                </c:pt>
                <c:pt idx="11">
                  <c:v>82.142857142857139</c:v>
                </c:pt>
                <c:pt idx="12">
                  <c:v>89.285714285714292</c:v>
                </c:pt>
                <c:pt idx="13">
                  <c:v>96.428571428571431</c:v>
                </c:pt>
              </c:numCache>
            </c:numRef>
          </c:xVal>
          <c:yVal>
            <c:numRef>
              <c:f>'sheet 1'!$S$48:$S$61</c:f>
              <c:numCache>
                <c:formatCode>General</c:formatCode>
                <c:ptCount val="14"/>
                <c:pt idx="0">
                  <c:v>46</c:v>
                </c:pt>
                <c:pt idx="1">
                  <c:v>48</c:v>
                </c:pt>
                <c:pt idx="2">
                  <c:v>51</c:v>
                </c:pt>
                <c:pt idx="3">
                  <c:v>52</c:v>
                </c:pt>
                <c:pt idx="4">
                  <c:v>52.1</c:v>
                </c:pt>
                <c:pt idx="5">
                  <c:v>54</c:v>
                </c:pt>
                <c:pt idx="6">
                  <c:v>54.6</c:v>
                </c:pt>
                <c:pt idx="7">
                  <c:v>58</c:v>
                </c:pt>
                <c:pt idx="8">
                  <c:v>58.7</c:v>
                </c:pt>
                <c:pt idx="9">
                  <c:v>58.8</c:v>
                </c:pt>
                <c:pt idx="10">
                  <c:v>59</c:v>
                </c:pt>
                <c:pt idx="11">
                  <c:v>61.4</c:v>
                </c:pt>
                <c:pt idx="12">
                  <c:v>61.6</c:v>
                </c:pt>
                <c:pt idx="1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4-41B0-96A9-AF128E42A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54848"/>
        <c:axId val="656543328"/>
      </c:scatterChart>
      <c:valAx>
        <c:axId val="65655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43328"/>
        <c:crosses val="autoZero"/>
        <c:crossBetween val="midCat"/>
      </c:valAx>
      <c:valAx>
        <c:axId val="656543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5548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INNOVATIVE SLUDGE HANDLING THROUGH PELLETIZATION THICKENING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49365471950480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1'!$C$73</c:f>
              <c:strCache>
                <c:ptCount val="1"/>
                <c:pt idx="0">
                  <c:v>Moistcon(Y)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'sheet 1'!$B$74:$B$93</c:f>
              <c:numCache>
                <c:formatCode>General</c:formatCode>
                <c:ptCount val="20"/>
                <c:pt idx="0">
                  <c:v>125.3</c:v>
                </c:pt>
                <c:pt idx="1">
                  <c:v>98.2</c:v>
                </c:pt>
                <c:pt idx="2">
                  <c:v>201.4</c:v>
                </c:pt>
                <c:pt idx="3">
                  <c:v>147.30000000000001</c:v>
                </c:pt>
                <c:pt idx="4">
                  <c:v>145.9</c:v>
                </c:pt>
                <c:pt idx="5">
                  <c:v>124.7</c:v>
                </c:pt>
                <c:pt idx="6">
                  <c:v>112.2</c:v>
                </c:pt>
                <c:pt idx="7">
                  <c:v>120.2</c:v>
                </c:pt>
                <c:pt idx="8">
                  <c:v>161.19999999999999</c:v>
                </c:pt>
                <c:pt idx="9">
                  <c:v>178.9</c:v>
                </c:pt>
                <c:pt idx="10">
                  <c:v>159.5</c:v>
                </c:pt>
                <c:pt idx="11">
                  <c:v>145.80000000000001</c:v>
                </c:pt>
                <c:pt idx="12">
                  <c:v>75.099999999999994</c:v>
                </c:pt>
                <c:pt idx="13">
                  <c:v>151.4</c:v>
                </c:pt>
                <c:pt idx="14">
                  <c:v>144.19999999999999</c:v>
                </c:pt>
                <c:pt idx="15">
                  <c:v>125</c:v>
                </c:pt>
                <c:pt idx="16">
                  <c:v>198.8</c:v>
                </c:pt>
                <c:pt idx="17">
                  <c:v>132.5</c:v>
                </c:pt>
                <c:pt idx="18">
                  <c:v>159.6</c:v>
                </c:pt>
                <c:pt idx="19">
                  <c:v>110.7</c:v>
                </c:pt>
              </c:numCache>
            </c:numRef>
          </c:xVal>
          <c:yVal>
            <c:numRef>
              <c:f>'sheet 1'!$C$74:$C$93</c:f>
              <c:numCache>
                <c:formatCode>General</c:formatCode>
                <c:ptCount val="20"/>
                <c:pt idx="0">
                  <c:v>77.900000000000006</c:v>
                </c:pt>
                <c:pt idx="1">
                  <c:v>76.8</c:v>
                </c:pt>
                <c:pt idx="2">
                  <c:v>81.5</c:v>
                </c:pt>
                <c:pt idx="3">
                  <c:v>79.8</c:v>
                </c:pt>
                <c:pt idx="4">
                  <c:v>78.2</c:v>
                </c:pt>
                <c:pt idx="5">
                  <c:v>78.3</c:v>
                </c:pt>
                <c:pt idx="6">
                  <c:v>77.5</c:v>
                </c:pt>
                <c:pt idx="7">
                  <c:v>77</c:v>
                </c:pt>
                <c:pt idx="8">
                  <c:v>80.099999999999994</c:v>
                </c:pt>
                <c:pt idx="9">
                  <c:v>80.2</c:v>
                </c:pt>
                <c:pt idx="10">
                  <c:v>79.900000000000006</c:v>
                </c:pt>
                <c:pt idx="11">
                  <c:v>79</c:v>
                </c:pt>
                <c:pt idx="12">
                  <c:v>76.7</c:v>
                </c:pt>
                <c:pt idx="13">
                  <c:v>78.2</c:v>
                </c:pt>
                <c:pt idx="14">
                  <c:v>79.5</c:v>
                </c:pt>
                <c:pt idx="15">
                  <c:v>78.099999999999994</c:v>
                </c:pt>
                <c:pt idx="16">
                  <c:v>81.5</c:v>
                </c:pt>
                <c:pt idx="17">
                  <c:v>77</c:v>
                </c:pt>
                <c:pt idx="18">
                  <c:v>79</c:v>
                </c:pt>
                <c:pt idx="19">
                  <c:v>78.599999999999994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4-42D2-A8BC-F9044BD3E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85984"/>
        <c:axId val="646645632"/>
      </c:scatterChart>
      <c:valAx>
        <c:axId val="10892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45632"/>
        <c:crosses val="autoZero"/>
        <c:crossBetween val="midCat"/>
      </c:valAx>
      <c:valAx>
        <c:axId val="6466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859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125.3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1'!$B$75:$B$93</c:f>
              <c:numCache>
                <c:formatCode>General</c:formatCode>
                <c:ptCount val="19"/>
                <c:pt idx="0">
                  <c:v>98.2</c:v>
                </c:pt>
                <c:pt idx="1">
                  <c:v>201.4</c:v>
                </c:pt>
                <c:pt idx="2">
                  <c:v>147.30000000000001</c:v>
                </c:pt>
                <c:pt idx="3">
                  <c:v>145.9</c:v>
                </c:pt>
                <c:pt idx="4">
                  <c:v>124.7</c:v>
                </c:pt>
                <c:pt idx="5">
                  <c:v>112.2</c:v>
                </c:pt>
                <c:pt idx="6">
                  <c:v>120.2</c:v>
                </c:pt>
                <c:pt idx="7">
                  <c:v>161.19999999999999</c:v>
                </c:pt>
                <c:pt idx="8">
                  <c:v>178.9</c:v>
                </c:pt>
                <c:pt idx="9">
                  <c:v>159.5</c:v>
                </c:pt>
                <c:pt idx="10">
                  <c:v>145.80000000000001</c:v>
                </c:pt>
                <c:pt idx="11">
                  <c:v>75.099999999999994</c:v>
                </c:pt>
                <c:pt idx="12">
                  <c:v>151.4</c:v>
                </c:pt>
                <c:pt idx="13">
                  <c:v>144.19999999999999</c:v>
                </c:pt>
                <c:pt idx="14">
                  <c:v>125</c:v>
                </c:pt>
                <c:pt idx="15">
                  <c:v>198.8</c:v>
                </c:pt>
                <c:pt idx="16">
                  <c:v>132.5</c:v>
                </c:pt>
                <c:pt idx="17">
                  <c:v>159.6</c:v>
                </c:pt>
                <c:pt idx="18">
                  <c:v>110.7</c:v>
                </c:pt>
              </c:numCache>
            </c:numRef>
          </c:xVal>
          <c:yVal>
            <c:numRef>
              <c:f>'sheet 1'!$K$150:$K$168</c:f>
              <c:numCache>
                <c:formatCode>General</c:formatCode>
                <c:ptCount val="19"/>
                <c:pt idx="0">
                  <c:v>-0.20625068024682491</c:v>
                </c:pt>
                <c:pt idx="1">
                  <c:v>0.27722335679717958</c:v>
                </c:pt>
                <c:pt idx="2">
                  <c:v>0.78763086257158932</c:v>
                </c:pt>
                <c:pt idx="3">
                  <c:v>-0.75516820382242145</c:v>
                </c:pt>
                <c:pt idx="4">
                  <c:v>0.21101736221118017</c:v>
                </c:pt>
                <c:pt idx="5">
                  <c:v>-7.8260016306742841E-2</c:v>
                </c:pt>
                <c:pt idx="6">
                  <c:v>-0.90512249405527712</c:v>
                </c:pt>
                <c:pt idx="7">
                  <c:v>0.51970730748351457</c:v>
                </c:pt>
                <c:pt idx="8">
                  <c:v>-0.1034759245350898</c:v>
                </c:pt>
                <c:pt idx="9">
                  <c:v>0.3891655840050845</c:v>
                </c:pt>
                <c:pt idx="10">
                  <c:v>4.8917577149438785E-2</c:v>
                </c:pt>
                <c:pt idx="11">
                  <c:v>0.63756472425204436</c:v>
                </c:pt>
                <c:pt idx="12">
                  <c:v>-0.97988615727453521</c:v>
                </c:pt>
                <c:pt idx="13">
                  <c:v>0.61429007269914848</c:v>
                </c:pt>
                <c:pt idx="14">
                  <c:v>-1.2399807043976807E-3</c:v>
                </c:pt>
                <c:pt idx="15">
                  <c:v>0.38345366206544895</c:v>
                </c:pt>
                <c:pt idx="16">
                  <c:v>-1.4076735535936393</c:v>
                </c:pt>
                <c:pt idx="17">
                  <c:v>-0.51492019696677005</c:v>
                </c:pt>
                <c:pt idx="18">
                  <c:v>1.0830266982710981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E-4278-9D0C-5916BA73B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20624"/>
        <c:axId val="1331019664"/>
      </c:scatterChart>
      <c:valAx>
        <c:axId val="133102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125.3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19664"/>
        <c:crosses val="autoZero"/>
        <c:crossBetween val="midCat"/>
      </c:valAx>
      <c:valAx>
        <c:axId val="133101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206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125.3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1'!$B$75:$B$93</c:f>
              <c:numCache>
                <c:formatCode>General</c:formatCode>
                <c:ptCount val="19"/>
                <c:pt idx="0">
                  <c:v>98.2</c:v>
                </c:pt>
                <c:pt idx="1">
                  <c:v>201.4</c:v>
                </c:pt>
                <c:pt idx="2">
                  <c:v>147.30000000000001</c:v>
                </c:pt>
                <c:pt idx="3">
                  <c:v>145.9</c:v>
                </c:pt>
                <c:pt idx="4">
                  <c:v>124.7</c:v>
                </c:pt>
                <c:pt idx="5">
                  <c:v>112.2</c:v>
                </c:pt>
                <c:pt idx="6">
                  <c:v>120.2</c:v>
                </c:pt>
                <c:pt idx="7">
                  <c:v>161.19999999999999</c:v>
                </c:pt>
                <c:pt idx="8">
                  <c:v>178.9</c:v>
                </c:pt>
                <c:pt idx="9">
                  <c:v>159.5</c:v>
                </c:pt>
                <c:pt idx="10">
                  <c:v>145.80000000000001</c:v>
                </c:pt>
                <c:pt idx="11">
                  <c:v>75.099999999999994</c:v>
                </c:pt>
                <c:pt idx="12">
                  <c:v>151.4</c:v>
                </c:pt>
                <c:pt idx="13">
                  <c:v>144.19999999999999</c:v>
                </c:pt>
                <c:pt idx="14">
                  <c:v>125</c:v>
                </c:pt>
                <c:pt idx="15">
                  <c:v>198.8</c:v>
                </c:pt>
                <c:pt idx="16">
                  <c:v>132.5</c:v>
                </c:pt>
                <c:pt idx="17">
                  <c:v>159.6</c:v>
                </c:pt>
                <c:pt idx="18">
                  <c:v>110.7</c:v>
                </c:pt>
              </c:numCache>
            </c:numRef>
          </c:xVal>
          <c:yVal>
            <c:numRef>
              <c:f>'sheet 1'!$C$75:$C$93</c:f>
              <c:numCache>
                <c:formatCode>General</c:formatCode>
                <c:ptCount val="19"/>
                <c:pt idx="0">
                  <c:v>76.8</c:v>
                </c:pt>
                <c:pt idx="1">
                  <c:v>81.5</c:v>
                </c:pt>
                <c:pt idx="2">
                  <c:v>79.8</c:v>
                </c:pt>
                <c:pt idx="3">
                  <c:v>78.2</c:v>
                </c:pt>
                <c:pt idx="4">
                  <c:v>78.3</c:v>
                </c:pt>
                <c:pt idx="5">
                  <c:v>77.5</c:v>
                </c:pt>
                <c:pt idx="6">
                  <c:v>77</c:v>
                </c:pt>
                <c:pt idx="7">
                  <c:v>80.099999999999994</c:v>
                </c:pt>
                <c:pt idx="8">
                  <c:v>80.2</c:v>
                </c:pt>
                <c:pt idx="9">
                  <c:v>79.900000000000006</c:v>
                </c:pt>
                <c:pt idx="10">
                  <c:v>79</c:v>
                </c:pt>
                <c:pt idx="11">
                  <c:v>76.7</c:v>
                </c:pt>
                <c:pt idx="12">
                  <c:v>78.2</c:v>
                </c:pt>
                <c:pt idx="13">
                  <c:v>79.5</c:v>
                </c:pt>
                <c:pt idx="14">
                  <c:v>78.099999999999994</c:v>
                </c:pt>
                <c:pt idx="15">
                  <c:v>81.5</c:v>
                </c:pt>
                <c:pt idx="16">
                  <c:v>77</c:v>
                </c:pt>
                <c:pt idx="17">
                  <c:v>79</c:v>
                </c:pt>
                <c:pt idx="18">
                  <c:v>78.599999999999994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1D-4CFD-9E0B-9ECD1E19A193}"/>
            </c:ext>
          </c:extLst>
        </c:ser>
        <c:ser>
          <c:idx val="1"/>
          <c:order val="1"/>
          <c:tx>
            <c:v>Predicted 77.9</c:v>
          </c:tx>
          <c:spPr>
            <a:ln w="19050">
              <a:noFill/>
            </a:ln>
          </c:spPr>
          <c:xVal>
            <c:numRef>
              <c:f>'sheet 1'!$B$75:$B$93</c:f>
              <c:numCache>
                <c:formatCode>General</c:formatCode>
                <c:ptCount val="19"/>
                <c:pt idx="0">
                  <c:v>98.2</c:v>
                </c:pt>
                <c:pt idx="1">
                  <c:v>201.4</c:v>
                </c:pt>
                <c:pt idx="2">
                  <c:v>147.30000000000001</c:v>
                </c:pt>
                <c:pt idx="3">
                  <c:v>145.9</c:v>
                </c:pt>
                <c:pt idx="4">
                  <c:v>124.7</c:v>
                </c:pt>
                <c:pt idx="5">
                  <c:v>112.2</c:v>
                </c:pt>
                <c:pt idx="6">
                  <c:v>120.2</c:v>
                </c:pt>
                <c:pt idx="7">
                  <c:v>161.19999999999999</c:v>
                </c:pt>
                <c:pt idx="8">
                  <c:v>178.9</c:v>
                </c:pt>
                <c:pt idx="9">
                  <c:v>159.5</c:v>
                </c:pt>
                <c:pt idx="10">
                  <c:v>145.80000000000001</c:v>
                </c:pt>
                <c:pt idx="11">
                  <c:v>75.099999999999994</c:v>
                </c:pt>
                <c:pt idx="12">
                  <c:v>151.4</c:v>
                </c:pt>
                <c:pt idx="13">
                  <c:v>144.19999999999999</c:v>
                </c:pt>
                <c:pt idx="14">
                  <c:v>125</c:v>
                </c:pt>
                <c:pt idx="15">
                  <c:v>198.8</c:v>
                </c:pt>
                <c:pt idx="16">
                  <c:v>132.5</c:v>
                </c:pt>
                <c:pt idx="17">
                  <c:v>159.6</c:v>
                </c:pt>
                <c:pt idx="18">
                  <c:v>110.7</c:v>
                </c:pt>
              </c:numCache>
            </c:numRef>
          </c:xVal>
          <c:yVal>
            <c:numRef>
              <c:f>'sheet 1'!$J$150:$J$168</c:f>
              <c:numCache>
                <c:formatCode>General</c:formatCode>
                <c:ptCount val="19"/>
                <c:pt idx="0">
                  <c:v>77.006250680246822</c:v>
                </c:pt>
                <c:pt idx="1">
                  <c:v>81.22277664320282</c:v>
                </c:pt>
                <c:pt idx="2">
                  <c:v>79.012369137428408</c:v>
                </c:pt>
                <c:pt idx="3">
                  <c:v>78.955168203822424</c:v>
                </c:pt>
                <c:pt idx="4">
                  <c:v>78.088982637788817</c:v>
                </c:pt>
                <c:pt idx="5">
                  <c:v>77.578260016306743</c:v>
                </c:pt>
                <c:pt idx="6">
                  <c:v>77.905122494055277</c:v>
                </c:pt>
                <c:pt idx="7">
                  <c:v>79.58029269251648</c:v>
                </c:pt>
                <c:pt idx="8">
                  <c:v>80.303475924535093</c:v>
                </c:pt>
                <c:pt idx="9">
                  <c:v>79.510834415994921</c:v>
                </c:pt>
                <c:pt idx="10">
                  <c:v>78.951082422850561</c:v>
                </c:pt>
                <c:pt idx="11">
                  <c:v>76.062435275747958</c:v>
                </c:pt>
                <c:pt idx="12">
                  <c:v>79.179886157274538</c:v>
                </c:pt>
                <c:pt idx="13">
                  <c:v>78.885709927300852</c:v>
                </c:pt>
                <c:pt idx="14">
                  <c:v>78.101239980704392</c:v>
                </c:pt>
                <c:pt idx="15">
                  <c:v>81.116546337934551</c:v>
                </c:pt>
                <c:pt idx="16">
                  <c:v>78.407673553593639</c:v>
                </c:pt>
                <c:pt idx="17">
                  <c:v>79.51492019696677</c:v>
                </c:pt>
                <c:pt idx="18">
                  <c:v>77.516973301728896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1D-4CFD-9E0B-9ECD1E19A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35504"/>
        <c:axId val="1331024944"/>
      </c:scatterChart>
      <c:valAx>
        <c:axId val="133103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125.3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24944"/>
        <c:crosses val="autoZero"/>
        <c:crossBetween val="midCat"/>
      </c:valAx>
      <c:valAx>
        <c:axId val="1331024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77.9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35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1'!$N$150:$N$168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'sheet 1'!$O$150:$O$168</c:f>
              <c:numCache>
                <c:formatCode>General</c:formatCode>
                <c:ptCount val="19"/>
                <c:pt idx="0">
                  <c:v>76.7</c:v>
                </c:pt>
                <c:pt idx="1">
                  <c:v>76.8</c:v>
                </c:pt>
                <c:pt idx="2">
                  <c:v>77</c:v>
                </c:pt>
                <c:pt idx="3">
                  <c:v>77</c:v>
                </c:pt>
                <c:pt idx="4">
                  <c:v>77.5</c:v>
                </c:pt>
                <c:pt idx="5">
                  <c:v>78.099999999999994</c:v>
                </c:pt>
                <c:pt idx="6">
                  <c:v>78.2</c:v>
                </c:pt>
                <c:pt idx="7">
                  <c:v>78.2</c:v>
                </c:pt>
                <c:pt idx="8">
                  <c:v>78.3</c:v>
                </c:pt>
                <c:pt idx="9">
                  <c:v>78.599999999999994</c:v>
                </c:pt>
                <c:pt idx="10">
                  <c:v>79</c:v>
                </c:pt>
                <c:pt idx="11">
                  <c:v>79</c:v>
                </c:pt>
                <c:pt idx="12">
                  <c:v>79.5</c:v>
                </c:pt>
                <c:pt idx="13">
                  <c:v>79.8</c:v>
                </c:pt>
                <c:pt idx="14">
                  <c:v>79.900000000000006</c:v>
                </c:pt>
                <c:pt idx="15">
                  <c:v>80.099999999999994</c:v>
                </c:pt>
                <c:pt idx="16">
                  <c:v>80.2</c:v>
                </c:pt>
                <c:pt idx="17">
                  <c:v>81.5</c:v>
                </c:pt>
                <c:pt idx="18">
                  <c:v>81.5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6-416E-B53A-163C7BF92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33584"/>
        <c:axId val="1331032144"/>
      </c:scatterChart>
      <c:valAx>
        <c:axId val="133103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32144"/>
        <c:crosses val="autoZero"/>
        <c:crossBetween val="midCat"/>
      </c:valAx>
      <c:valAx>
        <c:axId val="1331032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77.9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1033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MANUFACTURE INDUSTRIES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1'!$B$178:$B$179</c:f>
              <c:strCache>
                <c:ptCount val="2"/>
                <c:pt idx="0">
                  <c:v>STEEL (Y)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1'!$A$180:$A$193</c:f>
              <c:numCache>
                <c:formatCode>General</c:formatCode>
                <c:ptCount val="14"/>
                <c:pt idx="0">
                  <c:v>243</c:v>
                </c:pt>
                <c:pt idx="1">
                  <c:v>629</c:v>
                </c:pt>
                <c:pt idx="2">
                  <c:v>754</c:v>
                </c:pt>
                <c:pt idx="3">
                  <c:v>456</c:v>
                </c:pt>
                <c:pt idx="4">
                  <c:v>76</c:v>
                </c:pt>
                <c:pt idx="5">
                  <c:v>98</c:v>
                </c:pt>
                <c:pt idx="6">
                  <c:v>12</c:v>
                </c:pt>
                <c:pt idx="7">
                  <c:v>398</c:v>
                </c:pt>
                <c:pt idx="8">
                  <c:v>900</c:v>
                </c:pt>
                <c:pt idx="9">
                  <c:v>456</c:v>
                </c:pt>
                <c:pt idx="10">
                  <c:v>322</c:v>
                </c:pt>
                <c:pt idx="11">
                  <c:v>308</c:v>
                </c:pt>
                <c:pt idx="12">
                  <c:v>432</c:v>
                </c:pt>
                <c:pt idx="13">
                  <c:v>128</c:v>
                </c:pt>
              </c:numCache>
            </c:numRef>
          </c:xVal>
          <c:yVal>
            <c:numRef>
              <c:f>'sheet 1'!$B$180:$B$193</c:f>
              <c:numCache>
                <c:formatCode>General</c:formatCode>
                <c:ptCount val="14"/>
                <c:pt idx="0">
                  <c:v>17</c:v>
                </c:pt>
                <c:pt idx="1">
                  <c:v>56</c:v>
                </c:pt>
                <c:pt idx="2">
                  <c:v>67</c:v>
                </c:pt>
                <c:pt idx="3">
                  <c:v>87</c:v>
                </c:pt>
                <c:pt idx="4">
                  <c:v>23</c:v>
                </c:pt>
                <c:pt idx="5">
                  <c:v>43</c:v>
                </c:pt>
                <c:pt idx="6">
                  <c:v>34</c:v>
                </c:pt>
                <c:pt idx="7">
                  <c:v>23</c:v>
                </c:pt>
                <c:pt idx="8">
                  <c:v>12</c:v>
                </c:pt>
                <c:pt idx="9">
                  <c:v>30</c:v>
                </c:pt>
                <c:pt idx="10">
                  <c:v>84</c:v>
                </c:pt>
                <c:pt idx="11">
                  <c:v>12</c:v>
                </c:pt>
                <c:pt idx="12">
                  <c:v>22</c:v>
                </c:pt>
                <c:pt idx="1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4-4FF3-B7A9-E049EE652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76304"/>
        <c:axId val="1331072464"/>
      </c:scatterChart>
      <c:valAx>
        <c:axId val="133107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72464"/>
        <c:crosses val="autoZero"/>
        <c:crossBetween val="midCat"/>
      </c:valAx>
      <c:valAx>
        <c:axId val="13310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763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1'!$A$181:$A$193</c:f>
              <c:numCache>
                <c:formatCode>General</c:formatCode>
                <c:ptCount val="13"/>
                <c:pt idx="0">
                  <c:v>629</c:v>
                </c:pt>
                <c:pt idx="1">
                  <c:v>754</c:v>
                </c:pt>
                <c:pt idx="2">
                  <c:v>456</c:v>
                </c:pt>
                <c:pt idx="3">
                  <c:v>76</c:v>
                </c:pt>
                <c:pt idx="4">
                  <c:v>98</c:v>
                </c:pt>
                <c:pt idx="5">
                  <c:v>12</c:v>
                </c:pt>
                <c:pt idx="6">
                  <c:v>398</c:v>
                </c:pt>
                <c:pt idx="7">
                  <c:v>900</c:v>
                </c:pt>
                <c:pt idx="8">
                  <c:v>456</c:v>
                </c:pt>
                <c:pt idx="9">
                  <c:v>322</c:v>
                </c:pt>
                <c:pt idx="10">
                  <c:v>308</c:v>
                </c:pt>
                <c:pt idx="11">
                  <c:v>432</c:v>
                </c:pt>
                <c:pt idx="12">
                  <c:v>128</c:v>
                </c:pt>
              </c:numCache>
            </c:numRef>
          </c:xVal>
          <c:yVal>
            <c:numRef>
              <c:f>'sheet 1'!$L$242:$L$254</c:f>
              <c:numCache>
                <c:formatCode>General</c:formatCode>
                <c:ptCount val="13"/>
                <c:pt idx="0">
                  <c:v>13.124471747247149</c:v>
                </c:pt>
                <c:pt idx="1">
                  <c:v>22.005477541909443</c:v>
                </c:pt>
                <c:pt idx="2">
                  <c:v>47.057159727434545</c:v>
                </c:pt>
                <c:pt idx="3">
                  <c:v>-10.501097888338812</c:v>
                </c:pt>
                <c:pt idx="4">
                  <c:v>9.1259591315217534</c:v>
                </c:pt>
                <c:pt idx="5">
                  <c:v>1.5838271447940997</c:v>
                </c:pt>
                <c:pt idx="6">
                  <c:v>-15.959626961288755</c:v>
                </c:pt>
                <c:pt idx="7">
                  <c:v>-35.46950768992501</c:v>
                </c:pt>
                <c:pt idx="8">
                  <c:v>-9.942840272565455</c:v>
                </c:pt>
                <c:pt idx="9">
                  <c:v>46.328721515556573</c:v>
                </c:pt>
                <c:pt idx="10">
                  <c:v>-25.433951133445603</c:v>
                </c:pt>
                <c:pt idx="11">
                  <c:v>-17.535993385140614</c:v>
                </c:pt>
                <c:pt idx="12">
                  <c:v>-24.3825994777593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1-4EA7-8436-54D57FD6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38288"/>
        <c:axId val="1385236368"/>
      </c:scatterChart>
      <c:valAx>
        <c:axId val="138523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243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6368"/>
        <c:crosses val="autoZero"/>
        <c:crossBetween val="midCat"/>
      </c:valAx>
      <c:valAx>
        <c:axId val="138523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82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1'!$A$181:$A$193</c:f>
              <c:numCache>
                <c:formatCode>General</c:formatCode>
                <c:ptCount val="13"/>
                <c:pt idx="0">
                  <c:v>629</c:v>
                </c:pt>
                <c:pt idx="1">
                  <c:v>754</c:v>
                </c:pt>
                <c:pt idx="2">
                  <c:v>456</c:v>
                </c:pt>
                <c:pt idx="3">
                  <c:v>76</c:v>
                </c:pt>
                <c:pt idx="4">
                  <c:v>98</c:v>
                </c:pt>
                <c:pt idx="5">
                  <c:v>12</c:v>
                </c:pt>
                <c:pt idx="6">
                  <c:v>398</c:v>
                </c:pt>
                <c:pt idx="7">
                  <c:v>900</c:v>
                </c:pt>
                <c:pt idx="8">
                  <c:v>456</c:v>
                </c:pt>
                <c:pt idx="9">
                  <c:v>322</c:v>
                </c:pt>
                <c:pt idx="10">
                  <c:v>308</c:v>
                </c:pt>
                <c:pt idx="11">
                  <c:v>432</c:v>
                </c:pt>
                <c:pt idx="12">
                  <c:v>128</c:v>
                </c:pt>
              </c:numCache>
            </c:numRef>
          </c:xVal>
          <c:yVal>
            <c:numRef>
              <c:f>'sheet 1'!$B$181:$B$193</c:f>
              <c:numCache>
                <c:formatCode>General</c:formatCode>
                <c:ptCount val="13"/>
                <c:pt idx="0">
                  <c:v>56</c:v>
                </c:pt>
                <c:pt idx="1">
                  <c:v>67</c:v>
                </c:pt>
                <c:pt idx="2">
                  <c:v>87</c:v>
                </c:pt>
                <c:pt idx="3">
                  <c:v>23</c:v>
                </c:pt>
                <c:pt idx="4">
                  <c:v>43</c:v>
                </c:pt>
                <c:pt idx="5">
                  <c:v>34</c:v>
                </c:pt>
                <c:pt idx="6">
                  <c:v>23</c:v>
                </c:pt>
                <c:pt idx="7">
                  <c:v>12</c:v>
                </c:pt>
                <c:pt idx="8">
                  <c:v>30</c:v>
                </c:pt>
                <c:pt idx="9">
                  <c:v>84</c:v>
                </c:pt>
                <c:pt idx="10">
                  <c:v>12</c:v>
                </c:pt>
                <c:pt idx="11">
                  <c:v>22</c:v>
                </c:pt>
                <c:pt idx="1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C-4C37-A065-0DE6C4647C3C}"/>
            </c:ext>
          </c:extLst>
        </c:ser>
        <c:ser>
          <c:idx val="1"/>
          <c:order val="1"/>
          <c:tx>
            <c:v>Predicted 17</c:v>
          </c:tx>
          <c:spPr>
            <a:ln w="19050">
              <a:noFill/>
            </a:ln>
          </c:spPr>
          <c:xVal>
            <c:numRef>
              <c:f>'sheet 1'!$A$181:$A$193</c:f>
              <c:numCache>
                <c:formatCode>General</c:formatCode>
                <c:ptCount val="13"/>
                <c:pt idx="0">
                  <c:v>629</c:v>
                </c:pt>
                <c:pt idx="1">
                  <c:v>754</c:v>
                </c:pt>
                <c:pt idx="2">
                  <c:v>456</c:v>
                </c:pt>
                <c:pt idx="3">
                  <c:v>76</c:v>
                </c:pt>
                <c:pt idx="4">
                  <c:v>98</c:v>
                </c:pt>
                <c:pt idx="5">
                  <c:v>12</c:v>
                </c:pt>
                <c:pt idx="6">
                  <c:v>398</c:v>
                </c:pt>
                <c:pt idx="7">
                  <c:v>900</c:v>
                </c:pt>
                <c:pt idx="8">
                  <c:v>456</c:v>
                </c:pt>
                <c:pt idx="9">
                  <c:v>322</c:v>
                </c:pt>
                <c:pt idx="10">
                  <c:v>308</c:v>
                </c:pt>
                <c:pt idx="11">
                  <c:v>432</c:v>
                </c:pt>
                <c:pt idx="12">
                  <c:v>128</c:v>
                </c:pt>
              </c:numCache>
            </c:numRef>
          </c:xVal>
          <c:yVal>
            <c:numRef>
              <c:f>'sheet 1'!$K$242:$K$254</c:f>
              <c:numCache>
                <c:formatCode>General</c:formatCode>
                <c:ptCount val="13"/>
                <c:pt idx="0">
                  <c:v>42.875528252752851</c:v>
                </c:pt>
                <c:pt idx="1">
                  <c:v>44.994522458090557</c:v>
                </c:pt>
                <c:pt idx="2">
                  <c:v>39.942840272565455</c:v>
                </c:pt>
                <c:pt idx="3">
                  <c:v>33.501097888338812</c:v>
                </c:pt>
                <c:pt idx="4">
                  <c:v>33.874040868478247</c:v>
                </c:pt>
                <c:pt idx="5">
                  <c:v>32.4161728552059</c:v>
                </c:pt>
                <c:pt idx="6">
                  <c:v>38.959626961288755</c:v>
                </c:pt>
                <c:pt idx="7">
                  <c:v>47.46950768992501</c:v>
                </c:pt>
                <c:pt idx="8">
                  <c:v>39.942840272565455</c:v>
                </c:pt>
                <c:pt idx="9">
                  <c:v>37.671278484443427</c:v>
                </c:pt>
                <c:pt idx="10">
                  <c:v>37.433951133445603</c:v>
                </c:pt>
                <c:pt idx="11">
                  <c:v>39.535993385140614</c:v>
                </c:pt>
                <c:pt idx="12">
                  <c:v>34.3825994777593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FC-4C37-A065-0DE6C4647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38768"/>
        <c:axId val="1385230608"/>
      </c:scatterChart>
      <c:valAx>
        <c:axId val="138523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243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0608"/>
        <c:crosses val="autoZero"/>
        <c:crossBetween val="midCat"/>
      </c:valAx>
      <c:valAx>
        <c:axId val="1385230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8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1'!$O$242:$O$254</c:f>
              <c:numCache>
                <c:formatCode>General</c:formatCode>
                <c:ptCount val="13"/>
                <c:pt idx="0">
                  <c:v>3.8461538461538463</c:v>
                </c:pt>
                <c:pt idx="1">
                  <c:v>11.538461538461538</c:v>
                </c:pt>
                <c:pt idx="2">
                  <c:v>19.23076923076923</c:v>
                </c:pt>
                <c:pt idx="3">
                  <c:v>26.923076923076923</c:v>
                </c:pt>
                <c:pt idx="4">
                  <c:v>34.615384615384613</c:v>
                </c:pt>
                <c:pt idx="5">
                  <c:v>42.307692307692307</c:v>
                </c:pt>
                <c:pt idx="6">
                  <c:v>50</c:v>
                </c:pt>
                <c:pt idx="7">
                  <c:v>57.692307692307693</c:v>
                </c:pt>
                <c:pt idx="8">
                  <c:v>65.384615384615387</c:v>
                </c:pt>
                <c:pt idx="9">
                  <c:v>73.076923076923066</c:v>
                </c:pt>
                <c:pt idx="10">
                  <c:v>80.769230769230759</c:v>
                </c:pt>
                <c:pt idx="11">
                  <c:v>88.461538461538453</c:v>
                </c:pt>
                <c:pt idx="12">
                  <c:v>96.153846153846146</c:v>
                </c:pt>
              </c:numCache>
            </c:numRef>
          </c:xVal>
          <c:yVal>
            <c:numRef>
              <c:f>'sheet 1'!$P$242:$P$254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12</c:v>
                </c:pt>
                <c:pt idx="3">
                  <c:v>22</c:v>
                </c:pt>
                <c:pt idx="4">
                  <c:v>23</c:v>
                </c:pt>
                <c:pt idx="5">
                  <c:v>23</c:v>
                </c:pt>
                <c:pt idx="6">
                  <c:v>30</c:v>
                </c:pt>
                <c:pt idx="7">
                  <c:v>34</c:v>
                </c:pt>
                <c:pt idx="8">
                  <c:v>43</c:v>
                </c:pt>
                <c:pt idx="9">
                  <c:v>56</c:v>
                </c:pt>
                <c:pt idx="10">
                  <c:v>67</c:v>
                </c:pt>
                <c:pt idx="11">
                  <c:v>84</c:v>
                </c:pt>
                <c:pt idx="12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0B-4D6D-8CE1-F1390101D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34928"/>
        <c:axId val="1385235408"/>
      </c:scatterChart>
      <c:valAx>
        <c:axId val="138523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5408"/>
        <c:crosses val="autoZero"/>
        <c:crossBetween val="midCat"/>
      </c:valAx>
      <c:valAx>
        <c:axId val="138523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2349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BEVERAGE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1'!$B$265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1'!$A$266:$A$279</c:f>
              <c:numCache>
                <c:formatCode>General</c:formatCode>
                <c:ptCount val="14"/>
                <c:pt idx="0">
                  <c:v>243</c:v>
                </c:pt>
                <c:pt idx="1">
                  <c:v>100.2</c:v>
                </c:pt>
                <c:pt idx="2">
                  <c:v>7800.8</c:v>
                </c:pt>
                <c:pt idx="3">
                  <c:v>191</c:v>
                </c:pt>
                <c:pt idx="4">
                  <c:v>156</c:v>
                </c:pt>
                <c:pt idx="5">
                  <c:v>162</c:v>
                </c:pt>
                <c:pt idx="6">
                  <c:v>120</c:v>
                </c:pt>
                <c:pt idx="7">
                  <c:v>679</c:v>
                </c:pt>
                <c:pt idx="8">
                  <c:v>200</c:v>
                </c:pt>
                <c:pt idx="9">
                  <c:v>156</c:v>
                </c:pt>
                <c:pt idx="10">
                  <c:v>121</c:v>
                </c:pt>
                <c:pt idx="11">
                  <c:v>108</c:v>
                </c:pt>
                <c:pt idx="12">
                  <c:v>132</c:v>
                </c:pt>
                <c:pt idx="13">
                  <c:v>112</c:v>
                </c:pt>
              </c:numCache>
            </c:numRef>
          </c:xVal>
          <c:yVal>
            <c:numRef>
              <c:f>'sheet 1'!$B$266:$B$279</c:f>
              <c:numCache>
                <c:formatCode>General</c:formatCode>
                <c:ptCount val="14"/>
                <c:pt idx="0">
                  <c:v>18</c:v>
                </c:pt>
                <c:pt idx="1">
                  <c:v>21</c:v>
                </c:pt>
                <c:pt idx="2">
                  <c:v>23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11</c:v>
                </c:pt>
                <c:pt idx="8">
                  <c:v>10</c:v>
                </c:pt>
                <c:pt idx="9">
                  <c:v>30</c:v>
                </c:pt>
                <c:pt idx="10">
                  <c:v>8</c:v>
                </c:pt>
                <c:pt idx="11">
                  <c:v>21</c:v>
                </c:pt>
                <c:pt idx="12">
                  <c:v>32</c:v>
                </c:pt>
                <c:pt idx="1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5-496C-A780-F6FE259D2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73328"/>
        <c:axId val="1385271408"/>
      </c:scatterChart>
      <c:valAx>
        <c:axId val="138527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71408"/>
        <c:crosses val="autoZero"/>
        <c:crossBetween val="midCat"/>
      </c:valAx>
      <c:valAx>
        <c:axId val="13852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73328"/>
        <c:crosses val="autoZero"/>
        <c:crossBetween val="midCat"/>
      </c:valAx>
      <c:spPr>
        <a:solidFill>
          <a:schemeClr val="bg2">
            <a:lumMod val="90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1'!$A$267:$A$279</c:f>
              <c:numCache>
                <c:formatCode>General</c:formatCode>
                <c:ptCount val="13"/>
                <c:pt idx="0">
                  <c:v>100.2</c:v>
                </c:pt>
                <c:pt idx="1">
                  <c:v>7800.8</c:v>
                </c:pt>
                <c:pt idx="2">
                  <c:v>191</c:v>
                </c:pt>
                <c:pt idx="3">
                  <c:v>156</c:v>
                </c:pt>
                <c:pt idx="4">
                  <c:v>162</c:v>
                </c:pt>
                <c:pt idx="5">
                  <c:v>120</c:v>
                </c:pt>
                <c:pt idx="6">
                  <c:v>679</c:v>
                </c:pt>
                <c:pt idx="7">
                  <c:v>200</c:v>
                </c:pt>
                <c:pt idx="8">
                  <c:v>156</c:v>
                </c:pt>
                <c:pt idx="9">
                  <c:v>121</c:v>
                </c:pt>
                <c:pt idx="10">
                  <c:v>108</c:v>
                </c:pt>
                <c:pt idx="11">
                  <c:v>132</c:v>
                </c:pt>
                <c:pt idx="12">
                  <c:v>112</c:v>
                </c:pt>
              </c:numCache>
            </c:numRef>
          </c:xVal>
          <c:yVal>
            <c:numRef>
              <c:f>'sheet 1'!$M$323:$M$335</c:f>
              <c:numCache>
                <c:formatCode>General</c:formatCode>
                <c:ptCount val="13"/>
                <c:pt idx="0">
                  <c:v>4.3578040946900742</c:v>
                </c:pt>
                <c:pt idx="1">
                  <c:v>0.49428545210759722</c:v>
                </c:pt>
                <c:pt idx="2">
                  <c:v>-4.7113343481256109</c:v>
                </c:pt>
                <c:pt idx="3">
                  <c:v>-2.6846840673045875</c:v>
                </c:pt>
                <c:pt idx="4">
                  <c:v>-0.68925268687390684</c:v>
                </c:pt>
                <c:pt idx="5">
                  <c:v>2.3427276501113248</c:v>
                </c:pt>
                <c:pt idx="6">
                  <c:v>-6.0829154064301925</c:v>
                </c:pt>
                <c:pt idx="7">
                  <c:v>-6.7181872774795899</c:v>
                </c:pt>
                <c:pt idx="8">
                  <c:v>13.315315932695412</c:v>
                </c:pt>
                <c:pt idx="9">
                  <c:v>-8.6580337864835606</c:v>
                </c:pt>
                <c:pt idx="10">
                  <c:v>4.3518648892499634</c:v>
                </c:pt>
                <c:pt idx="11">
                  <c:v>15.333590410972686</c:v>
                </c:pt>
                <c:pt idx="12">
                  <c:v>-10.651180857129585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8E-4E79-B496-1EE9FE1AD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94144"/>
        <c:axId val="1408486944"/>
      </c:scatterChart>
      <c:valAx>
        <c:axId val="1408494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243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86944"/>
        <c:crosses val="autoZero"/>
        <c:crossBetween val="midCat"/>
      </c:valAx>
      <c:valAx>
        <c:axId val="1408486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941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243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1'!$A$267:$A$279</c:f>
              <c:numCache>
                <c:formatCode>General</c:formatCode>
                <c:ptCount val="13"/>
                <c:pt idx="0">
                  <c:v>100.2</c:v>
                </c:pt>
                <c:pt idx="1">
                  <c:v>7800.8</c:v>
                </c:pt>
                <c:pt idx="2">
                  <c:v>191</c:v>
                </c:pt>
                <c:pt idx="3">
                  <c:v>156</c:v>
                </c:pt>
                <c:pt idx="4">
                  <c:v>162</c:v>
                </c:pt>
                <c:pt idx="5">
                  <c:v>120</c:v>
                </c:pt>
                <c:pt idx="6">
                  <c:v>679</c:v>
                </c:pt>
                <c:pt idx="7">
                  <c:v>200</c:v>
                </c:pt>
                <c:pt idx="8">
                  <c:v>156</c:v>
                </c:pt>
                <c:pt idx="9">
                  <c:v>121</c:v>
                </c:pt>
                <c:pt idx="10">
                  <c:v>108</c:v>
                </c:pt>
                <c:pt idx="11">
                  <c:v>132</c:v>
                </c:pt>
                <c:pt idx="12">
                  <c:v>112</c:v>
                </c:pt>
              </c:numCache>
            </c:numRef>
          </c:xVal>
          <c:yVal>
            <c:numRef>
              <c:f>'sheet 1'!$B$267:$B$279</c:f>
              <c:numCache>
                <c:formatCode>General</c:formatCode>
                <c:ptCount val="13"/>
                <c:pt idx="0">
                  <c:v>21</c:v>
                </c:pt>
                <c:pt idx="1">
                  <c:v>23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19</c:v>
                </c:pt>
                <c:pt idx="6">
                  <c:v>11</c:v>
                </c:pt>
                <c:pt idx="7">
                  <c:v>10</c:v>
                </c:pt>
                <c:pt idx="8">
                  <c:v>30</c:v>
                </c:pt>
                <c:pt idx="9">
                  <c:v>8</c:v>
                </c:pt>
                <c:pt idx="10">
                  <c:v>21</c:v>
                </c:pt>
                <c:pt idx="11">
                  <c:v>32</c:v>
                </c:pt>
                <c:pt idx="1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1-48B3-AD12-5BA97EDC80CC}"/>
            </c:ext>
          </c:extLst>
        </c:ser>
        <c:ser>
          <c:idx val="1"/>
          <c:order val="1"/>
          <c:tx>
            <c:v>Predicted 18</c:v>
          </c:tx>
          <c:spPr>
            <a:ln w="19050">
              <a:noFill/>
            </a:ln>
          </c:spPr>
          <c:xVal>
            <c:numRef>
              <c:f>'sheet 1'!$A$267:$A$279</c:f>
              <c:numCache>
                <c:formatCode>General</c:formatCode>
                <c:ptCount val="13"/>
                <c:pt idx="0">
                  <c:v>100.2</c:v>
                </c:pt>
                <c:pt idx="1">
                  <c:v>7800.8</c:v>
                </c:pt>
                <c:pt idx="2">
                  <c:v>191</c:v>
                </c:pt>
                <c:pt idx="3">
                  <c:v>156</c:v>
                </c:pt>
                <c:pt idx="4">
                  <c:v>162</c:v>
                </c:pt>
                <c:pt idx="5">
                  <c:v>120</c:v>
                </c:pt>
                <c:pt idx="6">
                  <c:v>679</c:v>
                </c:pt>
                <c:pt idx="7">
                  <c:v>200</c:v>
                </c:pt>
                <c:pt idx="8">
                  <c:v>156</c:v>
                </c:pt>
                <c:pt idx="9">
                  <c:v>121</c:v>
                </c:pt>
                <c:pt idx="10">
                  <c:v>108</c:v>
                </c:pt>
                <c:pt idx="11">
                  <c:v>132</c:v>
                </c:pt>
                <c:pt idx="12">
                  <c:v>112</c:v>
                </c:pt>
              </c:numCache>
            </c:numRef>
          </c:xVal>
          <c:yVal>
            <c:numRef>
              <c:f>'sheet 1'!$L$323:$L$335</c:f>
              <c:numCache>
                <c:formatCode>General</c:formatCode>
                <c:ptCount val="13"/>
                <c:pt idx="0">
                  <c:v>16.642195905309926</c:v>
                </c:pt>
                <c:pt idx="1">
                  <c:v>22.505714547892403</c:v>
                </c:pt>
                <c:pt idx="2">
                  <c:v>16.711334348125611</c:v>
                </c:pt>
                <c:pt idx="3">
                  <c:v>16.684684067304588</c:v>
                </c:pt>
                <c:pt idx="4">
                  <c:v>16.689252686873907</c:v>
                </c:pt>
                <c:pt idx="5">
                  <c:v>16.657272349888675</c:v>
                </c:pt>
                <c:pt idx="6">
                  <c:v>17.082915406430192</c:v>
                </c:pt>
                <c:pt idx="7">
                  <c:v>16.71818727747959</c:v>
                </c:pt>
                <c:pt idx="8">
                  <c:v>16.684684067304588</c:v>
                </c:pt>
                <c:pt idx="9">
                  <c:v>16.658033786483561</c:v>
                </c:pt>
                <c:pt idx="10">
                  <c:v>16.648135110750037</c:v>
                </c:pt>
                <c:pt idx="11">
                  <c:v>16.666409589027314</c:v>
                </c:pt>
                <c:pt idx="12">
                  <c:v>16.651180857129585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D1-48B3-AD12-5BA97EDC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95104"/>
        <c:axId val="1408490784"/>
      </c:scatterChart>
      <c:valAx>
        <c:axId val="140849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243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90784"/>
        <c:crosses val="autoZero"/>
        <c:crossBetween val="midCat"/>
      </c:valAx>
      <c:valAx>
        <c:axId val="1408490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95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 1'!$P$323:$P$335</c:f>
              <c:numCache>
                <c:formatCode>General</c:formatCode>
                <c:ptCount val="13"/>
                <c:pt idx="0">
                  <c:v>3.8461538461538463</c:v>
                </c:pt>
                <c:pt idx="1">
                  <c:v>11.538461538461538</c:v>
                </c:pt>
                <c:pt idx="2">
                  <c:v>19.23076923076923</c:v>
                </c:pt>
                <c:pt idx="3">
                  <c:v>26.923076923076923</c:v>
                </c:pt>
                <c:pt idx="4">
                  <c:v>34.615384615384613</c:v>
                </c:pt>
                <c:pt idx="5">
                  <c:v>42.307692307692307</c:v>
                </c:pt>
                <c:pt idx="6">
                  <c:v>50</c:v>
                </c:pt>
                <c:pt idx="7">
                  <c:v>57.692307692307693</c:v>
                </c:pt>
                <c:pt idx="8">
                  <c:v>65.384615384615387</c:v>
                </c:pt>
                <c:pt idx="9">
                  <c:v>73.076923076923066</c:v>
                </c:pt>
                <c:pt idx="10">
                  <c:v>80.769230769230759</c:v>
                </c:pt>
                <c:pt idx="11">
                  <c:v>88.461538461538453</c:v>
                </c:pt>
                <c:pt idx="12">
                  <c:v>96.153846153846146</c:v>
                </c:pt>
              </c:numCache>
            </c:numRef>
          </c:xVal>
          <c:yVal>
            <c:numRef>
              <c:f>'sheet 1'!$Q$323:$Q$335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23</c:v>
                </c:pt>
                <c:pt idx="11">
                  <c:v>30</c:v>
                </c:pt>
                <c:pt idx="12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B7-4C32-8F5F-A4195DAE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91264"/>
        <c:axId val="1408485024"/>
      </c:scatterChart>
      <c:valAx>
        <c:axId val="140849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85024"/>
        <c:crosses val="autoZero"/>
        <c:crossBetween val="midCat"/>
      </c:valAx>
      <c:valAx>
        <c:axId val="140848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84912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59765</xdr:colOff>
      <xdr:row>5</xdr:row>
      <xdr:rowOff>32871</xdr:rowOff>
    </xdr:from>
    <xdr:to>
      <xdr:col>11</xdr:col>
      <xdr:colOff>1568823</xdr:colOff>
      <xdr:row>19</xdr:row>
      <xdr:rowOff>161366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2A8FE-B5E2-30D4-3375-DDC6AFC83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181553</xdr:colOff>
      <xdr:row>1</xdr:row>
      <xdr:rowOff>73603</xdr:rowOff>
    </xdr:from>
    <xdr:to>
      <xdr:col>20</xdr:col>
      <xdr:colOff>181553</xdr:colOff>
      <xdr:row>11</xdr:row>
      <xdr:rowOff>73603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8380E-C88F-309A-DF42-B2D64440B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282575</xdr:colOff>
      <xdr:row>12</xdr:row>
      <xdr:rowOff>15875</xdr:rowOff>
    </xdr:from>
    <xdr:to>
      <xdr:col>20</xdr:col>
      <xdr:colOff>282575</xdr:colOff>
      <xdr:row>22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0AF83-8F22-C61A-20A1-248841408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346075</xdr:colOff>
      <xdr:row>23</xdr:row>
      <xdr:rowOff>0</xdr:rowOff>
    </xdr:from>
    <xdr:to>
      <xdr:col>24</xdr:col>
      <xdr:colOff>346075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549A2E-238A-62B2-7514-0B2A6E0D7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28864</xdr:colOff>
      <xdr:row>72</xdr:row>
      <xdr:rowOff>36120</xdr:rowOff>
    </xdr:from>
    <xdr:to>
      <xdr:col>14</xdr:col>
      <xdr:colOff>509650</xdr:colOff>
      <xdr:row>87</xdr:row>
      <xdr:rowOff>8412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291B81-5670-F756-C61A-2A31AFDE9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577850</xdr:colOff>
      <xdr:row>92</xdr:row>
      <xdr:rowOff>9236</xdr:rowOff>
    </xdr:from>
    <xdr:to>
      <xdr:col>14</xdr:col>
      <xdr:colOff>162213</xdr:colOff>
      <xdr:row>102</xdr:row>
      <xdr:rowOff>28287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7CEB7-8D27-EE87-CBF1-D18169A77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572654</xdr:colOff>
      <xdr:row>103</xdr:row>
      <xdr:rowOff>34059</xdr:rowOff>
    </xdr:from>
    <xdr:to>
      <xdr:col>15</xdr:col>
      <xdr:colOff>157018</xdr:colOff>
      <xdr:row>113</xdr:row>
      <xdr:rowOff>46760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4AED46-ABDC-87DF-B53D-88FA9FEF8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247650</xdr:colOff>
      <xdr:row>113</xdr:row>
      <xdr:rowOff>158751</xdr:rowOff>
    </xdr:from>
    <xdr:to>
      <xdr:col>15</xdr:col>
      <xdr:colOff>443924</xdr:colOff>
      <xdr:row>124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288564-B1E9-DBEE-C00B-980DAD3D7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219364</xdr:colOff>
      <xdr:row>179</xdr:row>
      <xdr:rowOff>146627</xdr:rowOff>
    </xdr:from>
    <xdr:to>
      <xdr:col>15</xdr:col>
      <xdr:colOff>92364</xdr:colOff>
      <xdr:row>194</xdr:row>
      <xdr:rowOff>118918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C982A4-2B48-BF3E-18A9-558694160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142875</xdr:colOff>
      <xdr:row>196</xdr:row>
      <xdr:rowOff>79375</xdr:rowOff>
    </xdr:from>
    <xdr:to>
      <xdr:col>19</xdr:col>
      <xdr:colOff>142875</xdr:colOff>
      <xdr:row>206</xdr:row>
      <xdr:rowOff>187325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4370269-F26B-9C74-6B3D-A85F4F11F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47625</xdr:colOff>
      <xdr:row>208</xdr:row>
      <xdr:rowOff>31750</xdr:rowOff>
    </xdr:from>
    <xdr:to>
      <xdr:col>21</xdr:col>
      <xdr:colOff>47625</xdr:colOff>
      <xdr:row>218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DFE780-517E-9E56-B48A-52C3A0773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158750</xdr:colOff>
      <xdr:row>219</xdr:row>
      <xdr:rowOff>69850</xdr:rowOff>
    </xdr:from>
    <xdr:to>
      <xdr:col>24</xdr:col>
      <xdr:colOff>158750</xdr:colOff>
      <xdr:row>229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C4A6E6-084D-F841-61BC-111859783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485322</xdr:colOff>
      <xdr:row>267</xdr:row>
      <xdr:rowOff>111578</xdr:rowOff>
    </xdr:from>
    <xdr:to>
      <xdr:col>11</xdr:col>
      <xdr:colOff>1265465</xdr:colOff>
      <xdr:row>282</xdr:row>
      <xdr:rowOff>133350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7C2DAD-BFB0-4A00-0268-2B4C1D115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396875</xdr:colOff>
      <xdr:row>263</xdr:row>
      <xdr:rowOff>41275</xdr:rowOff>
    </xdr:from>
    <xdr:to>
      <xdr:col>23</xdr:col>
      <xdr:colOff>396875</xdr:colOff>
      <xdr:row>273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70D8DFB-D0BD-A2E3-E9CB-F41A3E33D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111125</xdr:colOff>
      <xdr:row>274</xdr:row>
      <xdr:rowOff>31750</xdr:rowOff>
    </xdr:from>
    <xdr:to>
      <xdr:col>26</xdr:col>
      <xdr:colOff>111125</xdr:colOff>
      <xdr:row>284</xdr:row>
      <xdr:rowOff>120650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2A7DCEE-34E2-084E-6899-1665C8B9C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130175</xdr:colOff>
      <xdr:row>286</xdr:row>
      <xdr:rowOff>12700</xdr:rowOff>
    </xdr:from>
    <xdr:to>
      <xdr:col>28</xdr:col>
      <xdr:colOff>130175</xdr:colOff>
      <xdr:row>296</xdr:row>
      <xdr:rowOff>127000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97EE5F-813B-377F-8C52-23104378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2968-51CF-4923-A41E-05F103AD5DD7}">
  <dimension ref="A1:U335"/>
  <sheetViews>
    <sheetView tabSelected="1" topLeftCell="A66" zoomScale="40" zoomScaleNormal="40" workbookViewId="0">
      <selection activeCell="AM23" sqref="AM23"/>
    </sheetView>
  </sheetViews>
  <sheetFormatPr defaultRowHeight="14.5" x14ac:dyDescent="0.35"/>
  <cols>
    <col min="1" max="1" width="17.26953125" customWidth="1"/>
    <col min="2" max="2" width="19.81640625" customWidth="1"/>
    <col min="3" max="3" width="14" customWidth="1"/>
    <col min="4" max="5" width="15" customWidth="1"/>
    <col min="6" max="6" width="10.7265625" customWidth="1"/>
    <col min="12" max="12" width="23.54296875" customWidth="1"/>
  </cols>
  <sheetData>
    <row r="1" spans="1:12" x14ac:dyDescent="0.35">
      <c r="L1" s="4" t="s">
        <v>44</v>
      </c>
    </row>
    <row r="3" spans="1:12" x14ac:dyDescent="0.35">
      <c r="A3" s="4" t="s">
        <v>64</v>
      </c>
    </row>
    <row r="5" spans="1:12" x14ac:dyDescent="0.35">
      <c r="A5" s="4" t="s">
        <v>41</v>
      </c>
    </row>
    <row r="7" spans="1:12" x14ac:dyDescent="0.35">
      <c r="A7" s="5" t="s">
        <v>42</v>
      </c>
      <c r="B7" s="5" t="s">
        <v>43</v>
      </c>
      <c r="C7" s="5"/>
      <c r="D7" s="5"/>
      <c r="E7" s="5"/>
    </row>
    <row r="8" spans="1:12" x14ac:dyDescent="0.3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</row>
    <row r="9" spans="1:12" x14ac:dyDescent="0.35">
      <c r="A9" s="5">
        <v>132</v>
      </c>
      <c r="B9" s="5">
        <v>46</v>
      </c>
      <c r="C9" s="5">
        <f>A9*A9</f>
        <v>17424</v>
      </c>
      <c r="D9" s="5">
        <f>A9*B9</f>
        <v>6072</v>
      </c>
      <c r="E9" s="5">
        <f>B9*B9</f>
        <v>2116</v>
      </c>
    </row>
    <row r="10" spans="1:12" x14ac:dyDescent="0.35">
      <c r="A10" s="5">
        <v>129</v>
      </c>
      <c r="B10" s="5">
        <v>48</v>
      </c>
      <c r="C10" s="5">
        <f>A10*A10</f>
        <v>16641</v>
      </c>
      <c r="D10" s="5">
        <f t="shared" ref="D10:D22" si="0">A10*B10</f>
        <v>6192</v>
      </c>
      <c r="E10" s="5">
        <f>B10*B10</f>
        <v>2304</v>
      </c>
    </row>
    <row r="11" spans="1:12" x14ac:dyDescent="0.35">
      <c r="A11" s="5">
        <v>120</v>
      </c>
      <c r="B11" s="5">
        <v>51</v>
      </c>
      <c r="C11" s="5">
        <f t="shared" ref="C11:C22" si="1">A11*A11</f>
        <v>14400</v>
      </c>
      <c r="D11" s="5">
        <f t="shared" si="0"/>
        <v>6120</v>
      </c>
      <c r="E11" s="5">
        <f t="shared" ref="E11:E22" si="2">B11*B11</f>
        <v>2601</v>
      </c>
    </row>
    <row r="12" spans="1:12" x14ac:dyDescent="0.35">
      <c r="A12" s="5">
        <v>113.2</v>
      </c>
      <c r="B12" s="5">
        <v>52.1</v>
      </c>
      <c r="C12" s="5">
        <f t="shared" si="1"/>
        <v>12814.24</v>
      </c>
      <c r="D12" s="5">
        <f t="shared" si="0"/>
        <v>5897.72</v>
      </c>
      <c r="E12" s="5">
        <f t="shared" si="2"/>
        <v>2714.4100000000003</v>
      </c>
    </row>
    <row r="13" spans="1:12" x14ac:dyDescent="0.35">
      <c r="A13" s="5">
        <v>105</v>
      </c>
      <c r="B13" s="5">
        <v>54</v>
      </c>
      <c r="C13" s="5">
        <f t="shared" si="1"/>
        <v>11025</v>
      </c>
      <c r="D13" s="5">
        <f t="shared" si="0"/>
        <v>5670</v>
      </c>
      <c r="E13" s="5">
        <f t="shared" si="2"/>
        <v>2916</v>
      </c>
    </row>
    <row r="14" spans="1:12" x14ac:dyDescent="0.35">
      <c r="A14" s="5">
        <v>92</v>
      </c>
      <c r="B14" s="5">
        <v>52</v>
      </c>
      <c r="C14" s="5">
        <f t="shared" si="1"/>
        <v>8464</v>
      </c>
      <c r="D14" s="5">
        <f t="shared" si="0"/>
        <v>4784</v>
      </c>
      <c r="E14" s="5">
        <f t="shared" si="2"/>
        <v>2704</v>
      </c>
    </row>
    <row r="15" spans="1:12" x14ac:dyDescent="0.35">
      <c r="A15" s="5">
        <v>84</v>
      </c>
      <c r="B15" s="5">
        <v>59</v>
      </c>
      <c r="C15" s="5">
        <f t="shared" si="1"/>
        <v>7056</v>
      </c>
      <c r="D15" s="5">
        <f t="shared" si="0"/>
        <v>4956</v>
      </c>
      <c r="E15" s="5">
        <f t="shared" si="2"/>
        <v>3481</v>
      </c>
    </row>
    <row r="16" spans="1:12" x14ac:dyDescent="0.35">
      <c r="A16" s="5">
        <v>83.2</v>
      </c>
      <c r="B16" s="5">
        <v>58.7</v>
      </c>
      <c r="C16" s="5">
        <f t="shared" si="1"/>
        <v>6922.2400000000007</v>
      </c>
      <c r="D16" s="5">
        <f t="shared" si="0"/>
        <v>4883.84</v>
      </c>
      <c r="E16" s="5">
        <f t="shared" si="2"/>
        <v>3445.6900000000005</v>
      </c>
    </row>
    <row r="17" spans="1:14" x14ac:dyDescent="0.35">
      <c r="A17" s="5">
        <v>88.4</v>
      </c>
      <c r="B17" s="5">
        <v>61.6</v>
      </c>
      <c r="C17" s="5">
        <f t="shared" si="1"/>
        <v>7814.5600000000013</v>
      </c>
      <c r="D17" s="5">
        <f t="shared" si="0"/>
        <v>5445.4400000000005</v>
      </c>
      <c r="E17" s="5">
        <f t="shared" si="2"/>
        <v>3794.5600000000004</v>
      </c>
    </row>
    <row r="18" spans="1:14" x14ac:dyDescent="0.35">
      <c r="A18" s="5">
        <v>59</v>
      </c>
      <c r="B18" s="5">
        <v>64</v>
      </c>
      <c r="C18" s="5">
        <f t="shared" si="1"/>
        <v>3481</v>
      </c>
      <c r="D18" s="5">
        <f t="shared" si="0"/>
        <v>3776</v>
      </c>
      <c r="E18" s="5">
        <f t="shared" si="2"/>
        <v>4096</v>
      </c>
    </row>
    <row r="19" spans="1:14" x14ac:dyDescent="0.35">
      <c r="A19" s="5">
        <v>80</v>
      </c>
      <c r="B19" s="5">
        <v>61.4</v>
      </c>
      <c r="C19" s="5">
        <f t="shared" si="1"/>
        <v>6400</v>
      </c>
      <c r="D19" s="5">
        <f t="shared" si="0"/>
        <v>4912</v>
      </c>
      <c r="E19" s="5">
        <f t="shared" si="2"/>
        <v>3769.96</v>
      </c>
    </row>
    <row r="20" spans="1:14" x14ac:dyDescent="0.35">
      <c r="A20" s="5">
        <v>81.5</v>
      </c>
      <c r="B20" s="5">
        <v>54.6</v>
      </c>
      <c r="C20" s="5">
        <f t="shared" si="1"/>
        <v>6642.25</v>
      </c>
      <c r="D20" s="5">
        <f t="shared" si="0"/>
        <v>4449.9000000000005</v>
      </c>
      <c r="E20" s="5">
        <f t="shared" si="2"/>
        <v>2981.1600000000003</v>
      </c>
    </row>
    <row r="21" spans="1:14" x14ac:dyDescent="0.35">
      <c r="A21" s="5">
        <v>71</v>
      </c>
      <c r="B21" s="5">
        <v>58.8</v>
      </c>
      <c r="C21" s="5">
        <f t="shared" si="1"/>
        <v>5041</v>
      </c>
      <c r="D21" s="5">
        <f t="shared" si="0"/>
        <v>4174.8</v>
      </c>
      <c r="E21" s="5">
        <f t="shared" si="2"/>
        <v>3457.4399999999996</v>
      </c>
    </row>
    <row r="22" spans="1:14" x14ac:dyDescent="0.35">
      <c r="A22" s="5">
        <v>69.2</v>
      </c>
      <c r="B22" s="5">
        <v>58</v>
      </c>
      <c r="C22" s="5">
        <f t="shared" si="1"/>
        <v>4788.6400000000003</v>
      </c>
      <c r="D22" s="5">
        <f t="shared" si="0"/>
        <v>4013.6000000000004</v>
      </c>
      <c r="E22" s="5">
        <f t="shared" si="2"/>
        <v>3364</v>
      </c>
    </row>
    <row r="24" spans="1:14" x14ac:dyDescent="0.35">
      <c r="A24" t="s">
        <v>5</v>
      </c>
      <c r="B24" s="4">
        <v>14</v>
      </c>
      <c r="M24" t="s">
        <v>10</v>
      </c>
    </row>
    <row r="25" spans="1:14" ht="15" thickBot="1" x14ac:dyDescent="0.4"/>
    <row r="26" spans="1:14" x14ac:dyDescent="0.35">
      <c r="A26" s="6" t="s">
        <v>53</v>
      </c>
      <c r="B26" s="5">
        <f>SUM(A9:A22)</f>
        <v>1307.5000000000002</v>
      </c>
      <c r="C26" s="5"/>
      <c r="D26" s="5" t="s">
        <v>8</v>
      </c>
      <c r="E26" s="5">
        <f>B28-B30/B24</f>
        <v>6802.7692857142247</v>
      </c>
      <c r="M26" s="3" t="s">
        <v>11</v>
      </c>
      <c r="N26" s="3"/>
    </row>
    <row r="27" spans="1:14" x14ac:dyDescent="0.35">
      <c r="A27" s="6" t="s">
        <v>54</v>
      </c>
      <c r="B27" s="5">
        <f>SUM(B9:B22)</f>
        <v>779.2</v>
      </c>
      <c r="C27" s="5"/>
      <c r="D27" s="5" t="s">
        <v>9</v>
      </c>
      <c r="E27" s="5">
        <f>B29-(B26*B27)/B24</f>
        <v>-1424.4142857143015</v>
      </c>
      <c r="M27" t="s">
        <v>12</v>
      </c>
      <c r="N27">
        <v>0.88924700522359135</v>
      </c>
    </row>
    <row r="28" spans="1:14" x14ac:dyDescent="0.35">
      <c r="A28" s="6" t="s">
        <v>52</v>
      </c>
      <c r="B28" s="5">
        <f>SUM(C9:C22)</f>
        <v>128913.93</v>
      </c>
      <c r="C28" s="5"/>
      <c r="D28" s="7" t="s">
        <v>58</v>
      </c>
      <c r="E28" s="5">
        <f>E27/E26</f>
        <v>-0.20938741649015838</v>
      </c>
      <c r="M28" t="s">
        <v>13</v>
      </c>
      <c r="N28">
        <v>0.79076023629912584</v>
      </c>
    </row>
    <row r="29" spans="1:14" x14ac:dyDescent="0.35">
      <c r="A29" s="5" t="s">
        <v>55</v>
      </c>
      <c r="B29" s="5">
        <f>SUM(D9:D22)</f>
        <v>71347.3</v>
      </c>
      <c r="C29" s="5"/>
      <c r="D29" s="7" t="s">
        <v>59</v>
      </c>
      <c r="E29" s="5">
        <f>B32-(E28*B31)</f>
        <v>75.212431932920154</v>
      </c>
      <c r="M29" t="s">
        <v>14</v>
      </c>
      <c r="N29">
        <v>0.77332358932405298</v>
      </c>
    </row>
    <row r="30" spans="1:14" x14ac:dyDescent="0.35">
      <c r="A30" s="5" t="s">
        <v>56</v>
      </c>
      <c r="B30" s="5">
        <f>B26*B26</f>
        <v>1709556.2500000007</v>
      </c>
      <c r="C30" s="5"/>
      <c r="D30" s="5"/>
      <c r="E30" s="5"/>
      <c r="M30" t="s">
        <v>15</v>
      </c>
      <c r="N30">
        <v>2.564498950687105</v>
      </c>
    </row>
    <row r="31" spans="1:14" ht="15" thickBot="1" x14ac:dyDescent="0.4">
      <c r="A31" s="6" t="s">
        <v>6</v>
      </c>
      <c r="B31" s="5">
        <f>B26/B24</f>
        <v>93.392857142857153</v>
      </c>
      <c r="C31" s="5"/>
      <c r="D31" s="5" t="s">
        <v>50</v>
      </c>
      <c r="E31" s="5"/>
      <c r="M31" s="1" t="s">
        <v>16</v>
      </c>
      <c r="N31" s="1">
        <v>14</v>
      </c>
    </row>
    <row r="32" spans="1:14" x14ac:dyDescent="0.35">
      <c r="A32" s="6" t="s">
        <v>7</v>
      </c>
      <c r="B32" s="5">
        <f>B27/B24</f>
        <v>55.657142857142858</v>
      </c>
      <c r="C32" s="5"/>
      <c r="D32" s="5" t="s">
        <v>60</v>
      </c>
      <c r="E32" s="5" t="s">
        <v>51</v>
      </c>
    </row>
    <row r="33" spans="1:21" ht="15" thickBot="1" x14ac:dyDescent="0.4">
      <c r="A33" s="6" t="s">
        <v>57</v>
      </c>
      <c r="B33" s="5">
        <f>SUM(E9:E22)</f>
        <v>43745.220000000008</v>
      </c>
      <c r="C33" s="5"/>
      <c r="D33" s="5"/>
      <c r="E33" s="5"/>
      <c r="M33" t="s">
        <v>17</v>
      </c>
    </row>
    <row r="34" spans="1:21" x14ac:dyDescent="0.35">
      <c r="M34" s="2"/>
      <c r="N34" s="2" t="s">
        <v>22</v>
      </c>
      <c r="O34" s="2" t="s">
        <v>23</v>
      </c>
      <c r="P34" s="2" t="s">
        <v>24</v>
      </c>
      <c r="Q34" s="2" t="s">
        <v>25</v>
      </c>
      <c r="R34" s="2" t="s">
        <v>26</v>
      </c>
    </row>
    <row r="35" spans="1:21" x14ac:dyDescent="0.35">
      <c r="M35" t="s">
        <v>18</v>
      </c>
      <c r="N35">
        <v>1</v>
      </c>
      <c r="O35">
        <v>298.25442729738256</v>
      </c>
      <c r="P35">
        <v>298.25442729738256</v>
      </c>
      <c r="Q35">
        <v>45.350475778375504</v>
      </c>
      <c r="R35">
        <v>2.0905231928620125E-5</v>
      </c>
    </row>
    <row r="36" spans="1:21" x14ac:dyDescent="0.35">
      <c r="M36" t="s">
        <v>19</v>
      </c>
      <c r="N36">
        <v>12</v>
      </c>
      <c r="O36">
        <v>78.919858416903153</v>
      </c>
      <c r="P36">
        <v>6.5766548680752628</v>
      </c>
    </row>
    <row r="37" spans="1:21" ht="15" thickBot="1" x14ac:dyDescent="0.4">
      <c r="M37" s="1" t="s">
        <v>20</v>
      </c>
      <c r="N37" s="1">
        <v>13</v>
      </c>
      <c r="O37" s="1">
        <v>377.1742857142857</v>
      </c>
      <c r="P37" s="1"/>
      <c r="Q37" s="1"/>
      <c r="R37" s="1"/>
    </row>
    <row r="38" spans="1:21" ht="15" thickBot="1" x14ac:dyDescent="0.4"/>
    <row r="39" spans="1:21" x14ac:dyDescent="0.35">
      <c r="M39" s="2"/>
      <c r="N39" s="2" t="s">
        <v>27</v>
      </c>
      <c r="O39" s="2" t="s">
        <v>15</v>
      </c>
      <c r="P39" s="2" t="s">
        <v>28</v>
      </c>
      <c r="Q39" s="2" t="s">
        <v>29</v>
      </c>
      <c r="R39" s="2" t="s">
        <v>30</v>
      </c>
      <c r="S39" s="2" t="s">
        <v>31</v>
      </c>
      <c r="T39" s="2" t="s">
        <v>32</v>
      </c>
      <c r="U39" s="2" t="s">
        <v>33</v>
      </c>
    </row>
    <row r="40" spans="1:21" x14ac:dyDescent="0.35">
      <c r="M40" t="s">
        <v>21</v>
      </c>
      <c r="N40">
        <v>75.21243193291977</v>
      </c>
      <c r="O40">
        <v>2.9836340919150639</v>
      </c>
      <c r="P40">
        <v>25.208329713327618</v>
      </c>
      <c r="Q40">
        <v>9.2172322498546068E-12</v>
      </c>
      <c r="R40">
        <v>68.711651694422699</v>
      </c>
      <c r="S40">
        <v>81.713212171416842</v>
      </c>
      <c r="T40">
        <v>68.711651694422699</v>
      </c>
      <c r="U40">
        <v>81.713212171416842</v>
      </c>
    </row>
    <row r="41" spans="1:21" ht="15" thickBot="1" x14ac:dyDescent="0.4">
      <c r="M41" s="1" t="s">
        <v>0</v>
      </c>
      <c r="N41" s="1">
        <v>-0.20938741649015427</v>
      </c>
      <c r="O41" s="1">
        <v>3.10927872038264E-2</v>
      </c>
      <c r="P41" s="1">
        <v>-6.7342761881567901</v>
      </c>
      <c r="Q41" s="1">
        <v>2.090523192862001E-5</v>
      </c>
      <c r="R41" s="1">
        <v>-0.27713278015996423</v>
      </c>
      <c r="S41" s="1">
        <v>-0.14164205282034428</v>
      </c>
      <c r="T41" s="1">
        <v>-0.27713278015996423</v>
      </c>
      <c r="U41" s="1">
        <v>-0.14164205282034428</v>
      </c>
    </row>
    <row r="45" spans="1:21" x14ac:dyDescent="0.35">
      <c r="M45" t="s">
        <v>34</v>
      </c>
      <c r="R45" t="s">
        <v>39</v>
      </c>
    </row>
    <row r="46" spans="1:21" ht="15" thickBot="1" x14ac:dyDescent="0.4"/>
    <row r="47" spans="1:21" x14ac:dyDescent="0.35">
      <c r="M47" s="2" t="s">
        <v>35</v>
      </c>
      <c r="N47" s="2" t="s">
        <v>36</v>
      </c>
      <c r="O47" s="2" t="s">
        <v>37</v>
      </c>
      <c r="P47" s="2" t="s">
        <v>38</v>
      </c>
      <c r="R47" s="2" t="s">
        <v>40</v>
      </c>
      <c r="S47" s="2" t="s">
        <v>1</v>
      </c>
    </row>
    <row r="48" spans="1:21" x14ac:dyDescent="0.35">
      <c r="M48">
        <v>1</v>
      </c>
      <c r="N48">
        <v>47.573292956219404</v>
      </c>
      <c r="O48">
        <v>-1.5732929562194045</v>
      </c>
      <c r="P48">
        <v>-0.63854002616846572</v>
      </c>
      <c r="R48">
        <v>3.5714285714285716</v>
      </c>
      <c r="S48">
        <v>46</v>
      </c>
    </row>
    <row r="49" spans="13:19" x14ac:dyDescent="0.35">
      <c r="M49">
        <v>2</v>
      </c>
      <c r="N49">
        <v>48.201455205689868</v>
      </c>
      <c r="O49">
        <v>-0.20145520568986797</v>
      </c>
      <c r="P49">
        <v>-8.1763038348620656E-2</v>
      </c>
      <c r="R49">
        <v>10.714285714285715</v>
      </c>
      <c r="S49">
        <v>48</v>
      </c>
    </row>
    <row r="50" spans="13:19" x14ac:dyDescent="0.35">
      <c r="M50">
        <v>3</v>
      </c>
      <c r="N50">
        <v>50.085941954101258</v>
      </c>
      <c r="O50">
        <v>0.91405804589874151</v>
      </c>
      <c r="P50">
        <v>0.37098154303710235</v>
      </c>
      <c r="R50">
        <v>17.857142857142858</v>
      </c>
      <c r="S50">
        <v>51</v>
      </c>
    </row>
    <row r="51" spans="13:19" x14ac:dyDescent="0.35">
      <c r="M51">
        <v>4</v>
      </c>
      <c r="N51">
        <v>51.509776386234307</v>
      </c>
      <c r="O51">
        <v>0.59022361376569421</v>
      </c>
      <c r="P51">
        <v>0.23954941149983422</v>
      </c>
      <c r="R51">
        <v>25.000000000000004</v>
      </c>
      <c r="S51">
        <v>52</v>
      </c>
    </row>
    <row r="52" spans="13:19" x14ac:dyDescent="0.35">
      <c r="M52">
        <v>5</v>
      </c>
      <c r="N52">
        <v>53.226753201453576</v>
      </c>
      <c r="O52">
        <v>0.77324679854642397</v>
      </c>
      <c r="P52">
        <v>0.31383159063076604</v>
      </c>
      <c r="R52">
        <v>32.142857142857146</v>
      </c>
      <c r="S52">
        <v>52.1</v>
      </c>
    </row>
    <row r="53" spans="13:19" x14ac:dyDescent="0.35">
      <c r="M53">
        <v>6</v>
      </c>
      <c r="N53">
        <v>55.948789615825575</v>
      </c>
      <c r="O53">
        <v>-3.9487896158255751</v>
      </c>
      <c r="P53">
        <v>-1.6026641539679001</v>
      </c>
      <c r="R53">
        <v>39.285714285714285</v>
      </c>
      <c r="S53">
        <v>54</v>
      </c>
    </row>
    <row r="54" spans="13:19" x14ac:dyDescent="0.35">
      <c r="M54">
        <v>7</v>
      </c>
      <c r="N54">
        <v>57.623888947746806</v>
      </c>
      <c r="O54">
        <v>1.3761110522531936</v>
      </c>
      <c r="P54">
        <v>0.5585113591482509</v>
      </c>
      <c r="R54">
        <v>46.428571428571431</v>
      </c>
      <c r="S54">
        <v>54.6</v>
      </c>
    </row>
    <row r="55" spans="13:19" x14ac:dyDescent="0.35">
      <c r="M55">
        <v>8</v>
      </c>
      <c r="N55">
        <v>57.791398880938935</v>
      </c>
      <c r="O55">
        <v>0.90860111906106766</v>
      </c>
      <c r="P55">
        <v>0.36876678310192745</v>
      </c>
      <c r="R55">
        <v>53.571428571428569</v>
      </c>
      <c r="S55">
        <v>58</v>
      </c>
    </row>
    <row r="56" spans="13:19" x14ac:dyDescent="0.35">
      <c r="M56">
        <v>9</v>
      </c>
      <c r="N56">
        <v>56.70258431519013</v>
      </c>
      <c r="O56">
        <v>4.8974156848098715</v>
      </c>
      <c r="P56">
        <v>1.9876755483930642</v>
      </c>
      <c r="R56">
        <v>60.714285714285715</v>
      </c>
      <c r="S56">
        <v>58.7</v>
      </c>
    </row>
    <row r="57" spans="13:19" x14ac:dyDescent="0.35">
      <c r="M57">
        <v>10</v>
      </c>
      <c r="N57">
        <v>62.858574360000667</v>
      </c>
      <c r="O57">
        <v>1.1414256399993334</v>
      </c>
      <c r="P57">
        <v>0.46326143847102463</v>
      </c>
      <c r="R57">
        <v>67.857142857142861</v>
      </c>
      <c r="S57">
        <v>58.8</v>
      </c>
    </row>
    <row r="58" spans="13:19" x14ac:dyDescent="0.35">
      <c r="M58">
        <v>11</v>
      </c>
      <c r="N58">
        <v>58.461438613707429</v>
      </c>
      <c r="O58">
        <v>2.9385613862925695</v>
      </c>
      <c r="P58">
        <v>1.1926507756125917</v>
      </c>
      <c r="R58">
        <v>75</v>
      </c>
      <c r="S58">
        <v>59</v>
      </c>
    </row>
    <row r="59" spans="13:19" x14ac:dyDescent="0.35">
      <c r="M59">
        <v>12</v>
      </c>
      <c r="N59">
        <v>58.147357488972197</v>
      </c>
      <c r="O59">
        <v>-3.5473574889721959</v>
      </c>
      <c r="P59">
        <v>-1.4397380569733662</v>
      </c>
      <c r="R59">
        <v>82.142857142857139</v>
      </c>
      <c r="S59">
        <v>61.4</v>
      </c>
    </row>
    <row r="60" spans="13:19" x14ac:dyDescent="0.35">
      <c r="M60">
        <v>13</v>
      </c>
      <c r="N60">
        <v>60.34592536211882</v>
      </c>
      <c r="O60">
        <v>-1.5459253621188225</v>
      </c>
      <c r="P60">
        <v>-0.62743255620613492</v>
      </c>
      <c r="R60">
        <v>89.285714285714292</v>
      </c>
      <c r="S60">
        <v>61.6</v>
      </c>
    </row>
    <row r="61" spans="13:19" ht="15" thickBot="1" x14ac:dyDescent="0.4">
      <c r="M61" s="1">
        <v>14</v>
      </c>
      <c r="N61" s="1">
        <v>60.722822711801093</v>
      </c>
      <c r="O61" s="1">
        <v>-2.7228227118010935</v>
      </c>
      <c r="P61" s="1">
        <v>-1.1050906182300997</v>
      </c>
      <c r="R61" s="1">
        <v>96.428571428571431</v>
      </c>
      <c r="S61" s="1">
        <v>64</v>
      </c>
    </row>
    <row r="69" spans="1:8" x14ac:dyDescent="0.35">
      <c r="A69" s="4" t="s">
        <v>65</v>
      </c>
    </row>
    <row r="71" spans="1:8" x14ac:dyDescent="0.35">
      <c r="A71" s="4" t="s">
        <v>45</v>
      </c>
    </row>
    <row r="73" spans="1:8" x14ac:dyDescent="0.35">
      <c r="A73" s="5" t="s">
        <v>46</v>
      </c>
      <c r="B73" s="5" t="s">
        <v>47</v>
      </c>
      <c r="C73" s="5" t="s">
        <v>48</v>
      </c>
      <c r="D73" s="5" t="s">
        <v>62</v>
      </c>
      <c r="E73" s="5" t="s">
        <v>49</v>
      </c>
      <c r="F73" s="5" t="s">
        <v>2</v>
      </c>
      <c r="G73" s="5" t="s">
        <v>4</v>
      </c>
      <c r="H73" s="5" t="s">
        <v>3</v>
      </c>
    </row>
    <row r="74" spans="1:8" x14ac:dyDescent="0.35">
      <c r="A74" s="5">
        <v>1</v>
      </c>
      <c r="B74" s="5">
        <v>125.3</v>
      </c>
      <c r="C74" s="5">
        <v>77.900000000000006</v>
      </c>
      <c r="D74" s="5">
        <f>E$103+E$102*B74</f>
        <v>9141.7059357775033</v>
      </c>
      <c r="E74" s="5">
        <f>C74-D74</f>
        <v>-9063.8059357775037</v>
      </c>
      <c r="F74" s="5">
        <f>B74*B74</f>
        <v>15700.09</v>
      </c>
      <c r="G74" s="5">
        <f>C74*C74</f>
        <v>6068.4100000000008</v>
      </c>
      <c r="H74" s="5">
        <f>B74*C74</f>
        <v>9760.8700000000008</v>
      </c>
    </row>
    <row r="75" spans="1:8" x14ac:dyDescent="0.35">
      <c r="A75" s="5">
        <v>2</v>
      </c>
      <c r="B75" s="5">
        <v>98.2</v>
      </c>
      <c r="C75" s="5">
        <v>76.8</v>
      </c>
      <c r="D75" s="5">
        <f>$E$103+$E$102*B75</f>
        <v>7164.5293127960958</v>
      </c>
      <c r="E75" s="5">
        <f t="shared" ref="E75:E93" si="3">C75-D75</f>
        <v>-7087.7293127960957</v>
      </c>
      <c r="F75" s="5">
        <f t="shared" ref="F75:G92" si="4">B75*B75</f>
        <v>9643.24</v>
      </c>
      <c r="G75" s="5">
        <f t="shared" si="4"/>
        <v>5898.24</v>
      </c>
      <c r="H75" s="5">
        <f t="shared" ref="H75:H93" si="5">B75*C75</f>
        <v>7541.76</v>
      </c>
    </row>
    <row r="76" spans="1:8" x14ac:dyDescent="0.35">
      <c r="A76" s="5">
        <v>3</v>
      </c>
      <c r="B76" s="5">
        <v>201.4</v>
      </c>
      <c r="C76" s="5">
        <v>81.5</v>
      </c>
      <c r="D76" s="5">
        <f t="shared" ref="D76:D93" si="6">$E$103+$E$102*B76</f>
        <v>14693.85136045961</v>
      </c>
      <c r="E76" s="5">
        <f t="shared" si="3"/>
        <v>-14612.35136045961</v>
      </c>
      <c r="F76" s="5">
        <f t="shared" si="4"/>
        <v>40561.96</v>
      </c>
      <c r="G76" s="5">
        <f t="shared" si="4"/>
        <v>6642.25</v>
      </c>
      <c r="H76" s="5">
        <f t="shared" si="5"/>
        <v>16414.100000000002</v>
      </c>
    </row>
    <row r="77" spans="1:8" x14ac:dyDescent="0.35">
      <c r="A77" s="5">
        <v>4</v>
      </c>
      <c r="B77" s="5">
        <v>147.30000000000001</v>
      </c>
      <c r="C77" s="5">
        <v>79.8</v>
      </c>
      <c r="D77" s="5">
        <f t="shared" si="6"/>
        <v>10746.793969194145</v>
      </c>
      <c r="E77" s="5">
        <f t="shared" si="3"/>
        <v>-10666.993969194145</v>
      </c>
      <c r="F77" s="5">
        <f t="shared" si="4"/>
        <v>21697.290000000005</v>
      </c>
      <c r="G77" s="5">
        <f t="shared" si="4"/>
        <v>6368.04</v>
      </c>
      <c r="H77" s="5">
        <f t="shared" si="5"/>
        <v>11754.54</v>
      </c>
    </row>
    <row r="78" spans="1:8" x14ac:dyDescent="0.35">
      <c r="A78" s="5">
        <v>5</v>
      </c>
      <c r="B78" s="5">
        <v>145.9</v>
      </c>
      <c r="C78" s="5">
        <v>78.2</v>
      </c>
      <c r="D78" s="5">
        <f t="shared" si="6"/>
        <v>10644.652003431267</v>
      </c>
      <c r="E78" s="5">
        <f t="shared" si="3"/>
        <v>-10566.452003431266</v>
      </c>
      <c r="F78" s="5">
        <f t="shared" si="4"/>
        <v>21286.81</v>
      </c>
      <c r="G78" s="5">
        <f t="shared" si="4"/>
        <v>6115.2400000000007</v>
      </c>
      <c r="H78" s="5">
        <f t="shared" si="5"/>
        <v>11409.380000000001</v>
      </c>
    </row>
    <row r="79" spans="1:8" x14ac:dyDescent="0.35">
      <c r="A79" s="5">
        <v>6</v>
      </c>
      <c r="B79" s="5">
        <v>124.7</v>
      </c>
      <c r="C79" s="5">
        <v>78.3</v>
      </c>
      <c r="D79" s="5">
        <f t="shared" si="6"/>
        <v>9097.9308075934132</v>
      </c>
      <c r="E79" s="5">
        <f t="shared" si="3"/>
        <v>-9019.6308075934139</v>
      </c>
      <c r="F79" s="5">
        <f t="shared" si="4"/>
        <v>15550.09</v>
      </c>
      <c r="G79" s="5">
        <f t="shared" si="4"/>
        <v>6130.8899999999994</v>
      </c>
      <c r="H79" s="5">
        <f t="shared" si="5"/>
        <v>9764.01</v>
      </c>
    </row>
    <row r="80" spans="1:8" x14ac:dyDescent="0.35">
      <c r="A80" s="5">
        <v>7</v>
      </c>
      <c r="B80" s="5">
        <v>112.2</v>
      </c>
      <c r="C80" s="5">
        <v>77.5</v>
      </c>
      <c r="D80" s="5">
        <f t="shared" si="6"/>
        <v>8185.9489704248672</v>
      </c>
      <c r="E80" s="5">
        <f t="shared" si="3"/>
        <v>-8108.4489704248672</v>
      </c>
      <c r="F80" s="5">
        <f t="shared" si="4"/>
        <v>12588.84</v>
      </c>
      <c r="G80" s="5">
        <f t="shared" si="4"/>
        <v>6006.25</v>
      </c>
      <c r="H80" s="5">
        <f t="shared" si="5"/>
        <v>8695.5</v>
      </c>
    </row>
    <row r="81" spans="1:8" x14ac:dyDescent="0.35">
      <c r="A81" s="5">
        <v>8</v>
      </c>
      <c r="B81" s="5">
        <v>120.2</v>
      </c>
      <c r="C81" s="5">
        <v>77</v>
      </c>
      <c r="D81" s="5">
        <f t="shared" si="6"/>
        <v>8769.6173462127372</v>
      </c>
      <c r="E81" s="5">
        <f t="shared" si="3"/>
        <v>-8692.6173462127372</v>
      </c>
      <c r="F81" s="5">
        <f t="shared" si="4"/>
        <v>14448.04</v>
      </c>
      <c r="G81" s="5">
        <f t="shared" si="4"/>
        <v>5929</v>
      </c>
      <c r="H81" s="5">
        <f t="shared" si="5"/>
        <v>9255.4</v>
      </c>
    </row>
    <row r="82" spans="1:8" x14ac:dyDescent="0.35">
      <c r="A82" s="5">
        <v>9</v>
      </c>
      <c r="B82" s="5">
        <v>161.19999999999999</v>
      </c>
      <c r="C82" s="5">
        <v>80.099999999999994</v>
      </c>
      <c r="D82" s="5">
        <f t="shared" si="6"/>
        <v>11760.917772125566</v>
      </c>
      <c r="E82" s="5">
        <f t="shared" si="3"/>
        <v>-11680.817772125565</v>
      </c>
      <c r="F82" s="5">
        <f t="shared" si="4"/>
        <v>25985.439999999995</v>
      </c>
      <c r="G82" s="5">
        <f t="shared" si="4"/>
        <v>6416.0099999999993</v>
      </c>
      <c r="H82" s="5">
        <f t="shared" si="5"/>
        <v>12912.119999999999</v>
      </c>
    </row>
    <row r="83" spans="1:8" x14ac:dyDescent="0.35">
      <c r="A83" s="5">
        <v>10</v>
      </c>
      <c r="B83" s="5">
        <v>178.9</v>
      </c>
      <c r="C83" s="5">
        <v>80.2</v>
      </c>
      <c r="D83" s="5">
        <f t="shared" si="6"/>
        <v>13052.284053556228</v>
      </c>
      <c r="E83" s="5">
        <f t="shared" si="3"/>
        <v>-12972.084053556227</v>
      </c>
      <c r="F83" s="5">
        <f t="shared" si="4"/>
        <v>32005.210000000003</v>
      </c>
      <c r="G83" s="5">
        <f t="shared" si="4"/>
        <v>6432.0400000000009</v>
      </c>
      <c r="H83" s="5">
        <f t="shared" si="5"/>
        <v>14347.78</v>
      </c>
    </row>
    <row r="84" spans="1:8" x14ac:dyDescent="0.35">
      <c r="A84" s="5">
        <v>11</v>
      </c>
      <c r="B84" s="5">
        <v>159.5</v>
      </c>
      <c r="C84" s="5">
        <v>79.900000000000006</v>
      </c>
      <c r="D84" s="5">
        <f t="shared" si="6"/>
        <v>11636.888242270645</v>
      </c>
      <c r="E84" s="5">
        <f t="shared" si="3"/>
        <v>-11556.988242270645</v>
      </c>
      <c r="F84" s="5">
        <f t="shared" si="4"/>
        <v>25440.25</v>
      </c>
      <c r="G84" s="5">
        <f t="shared" si="4"/>
        <v>6384.0100000000011</v>
      </c>
      <c r="H84" s="5">
        <f t="shared" si="5"/>
        <v>12744.050000000001</v>
      </c>
    </row>
    <row r="85" spans="1:8" x14ac:dyDescent="0.35">
      <c r="A85" s="5">
        <v>12</v>
      </c>
      <c r="B85" s="5">
        <v>145.80000000000001</v>
      </c>
      <c r="C85" s="5">
        <v>79</v>
      </c>
      <c r="D85" s="5">
        <f t="shared" si="6"/>
        <v>10637.356148733919</v>
      </c>
      <c r="E85" s="5">
        <f t="shared" si="3"/>
        <v>-10558.356148733919</v>
      </c>
      <c r="F85" s="5">
        <f t="shared" si="4"/>
        <v>21257.640000000003</v>
      </c>
      <c r="G85" s="5">
        <f t="shared" si="4"/>
        <v>6241</v>
      </c>
      <c r="H85" s="5">
        <f t="shared" si="5"/>
        <v>11518.2</v>
      </c>
    </row>
    <row r="86" spans="1:8" x14ac:dyDescent="0.35">
      <c r="A86" s="5">
        <v>13</v>
      </c>
      <c r="B86" s="5">
        <v>75.099999999999994</v>
      </c>
      <c r="C86" s="5">
        <v>76.7</v>
      </c>
      <c r="D86" s="5">
        <f t="shared" si="6"/>
        <v>5479.1868777086229</v>
      </c>
      <c r="E86" s="5">
        <f t="shared" si="3"/>
        <v>-5402.4868777086231</v>
      </c>
      <c r="F86" s="5">
        <f t="shared" si="4"/>
        <v>5640.0099999999993</v>
      </c>
      <c r="G86" s="5">
        <f t="shared" si="4"/>
        <v>5882.89</v>
      </c>
      <c r="H86" s="5">
        <f t="shared" si="5"/>
        <v>5760.17</v>
      </c>
    </row>
    <row r="87" spans="1:8" x14ac:dyDescent="0.35">
      <c r="A87" s="5">
        <v>14</v>
      </c>
      <c r="B87" s="5">
        <v>151.4</v>
      </c>
      <c r="C87" s="5">
        <v>78.2</v>
      </c>
      <c r="D87" s="5">
        <f t="shared" si="6"/>
        <v>11045.924011785428</v>
      </c>
      <c r="E87" s="5">
        <f t="shared" si="3"/>
        <v>-10967.724011785427</v>
      </c>
      <c r="F87" s="5">
        <f t="shared" si="4"/>
        <v>22921.960000000003</v>
      </c>
      <c r="G87" s="5">
        <f t="shared" si="4"/>
        <v>6115.2400000000007</v>
      </c>
      <c r="H87" s="5">
        <f t="shared" si="5"/>
        <v>11839.480000000001</v>
      </c>
    </row>
    <row r="88" spans="1:8" x14ac:dyDescent="0.35">
      <c r="A88" s="5">
        <v>15</v>
      </c>
      <c r="B88" s="5">
        <v>144.19999999999999</v>
      </c>
      <c r="C88" s="5">
        <v>79.5</v>
      </c>
      <c r="D88" s="5">
        <f t="shared" si="6"/>
        <v>10520.622473576343</v>
      </c>
      <c r="E88" s="5">
        <f t="shared" si="3"/>
        <v>-10441.122473576343</v>
      </c>
      <c r="F88" s="5">
        <f t="shared" si="4"/>
        <v>20793.639999999996</v>
      </c>
      <c r="G88" s="5">
        <f t="shared" si="4"/>
        <v>6320.25</v>
      </c>
      <c r="H88" s="5">
        <f t="shared" si="5"/>
        <v>11463.9</v>
      </c>
    </row>
    <row r="89" spans="1:8" x14ac:dyDescent="0.35">
      <c r="A89" s="5">
        <v>16</v>
      </c>
      <c r="B89" s="5">
        <v>125</v>
      </c>
      <c r="C89" s="5">
        <v>78.099999999999994</v>
      </c>
      <c r="D89" s="5">
        <f t="shared" si="6"/>
        <v>9119.8183716854583</v>
      </c>
      <c r="E89" s="5">
        <f t="shared" si="3"/>
        <v>-9041.7183716854579</v>
      </c>
      <c r="F89" s="5">
        <f t="shared" si="4"/>
        <v>15625</v>
      </c>
      <c r="G89" s="5">
        <f t="shared" si="4"/>
        <v>6099.6099999999988</v>
      </c>
      <c r="H89" s="5">
        <f t="shared" si="5"/>
        <v>9762.5</v>
      </c>
    </row>
    <row r="90" spans="1:8" x14ac:dyDescent="0.35">
      <c r="A90" s="5">
        <v>17</v>
      </c>
      <c r="B90" s="5">
        <v>198.8</v>
      </c>
      <c r="C90" s="5">
        <v>81.5</v>
      </c>
      <c r="D90" s="5">
        <f t="shared" si="6"/>
        <v>14504.159138328554</v>
      </c>
      <c r="E90" s="5">
        <f t="shared" si="3"/>
        <v>-14422.659138328554</v>
      </c>
      <c r="F90" s="5">
        <f t="shared" si="4"/>
        <v>39521.440000000002</v>
      </c>
      <c r="G90" s="5">
        <f t="shared" si="4"/>
        <v>6642.25</v>
      </c>
      <c r="H90" s="5">
        <f t="shared" si="5"/>
        <v>16202.2</v>
      </c>
    </row>
    <row r="91" spans="1:8" x14ac:dyDescent="0.35">
      <c r="A91" s="5">
        <v>18</v>
      </c>
      <c r="B91" s="5">
        <v>132.5</v>
      </c>
      <c r="C91" s="5">
        <v>77</v>
      </c>
      <c r="D91" s="5">
        <f t="shared" si="6"/>
        <v>9667.007473986585</v>
      </c>
      <c r="E91" s="5">
        <f t="shared" si="3"/>
        <v>-9590.007473986585</v>
      </c>
      <c r="F91" s="5">
        <f t="shared" si="4"/>
        <v>17556.25</v>
      </c>
      <c r="G91" s="5">
        <f t="shared" si="4"/>
        <v>5929</v>
      </c>
      <c r="H91" s="5">
        <f t="shared" si="5"/>
        <v>10202.5</v>
      </c>
    </row>
    <row r="92" spans="1:8" x14ac:dyDescent="0.35">
      <c r="A92" s="5">
        <v>19</v>
      </c>
      <c r="B92" s="5">
        <v>159.6</v>
      </c>
      <c r="C92" s="5">
        <v>79</v>
      </c>
      <c r="D92" s="5">
        <f t="shared" si="6"/>
        <v>11644.184096967992</v>
      </c>
      <c r="E92" s="5">
        <f t="shared" si="3"/>
        <v>-11565.184096967992</v>
      </c>
      <c r="F92" s="5">
        <f t="shared" si="4"/>
        <v>25472.16</v>
      </c>
      <c r="G92" s="5">
        <f t="shared" si="4"/>
        <v>6241</v>
      </c>
      <c r="H92" s="5">
        <f t="shared" si="5"/>
        <v>12608.4</v>
      </c>
    </row>
    <row r="93" spans="1:8" x14ac:dyDescent="0.35">
      <c r="A93" s="5">
        <v>20</v>
      </c>
      <c r="B93" s="5">
        <v>110.7</v>
      </c>
      <c r="C93" s="5">
        <v>78.599999999999994</v>
      </c>
      <c r="D93" s="5">
        <f t="shared" si="6"/>
        <v>8076.5111499646418</v>
      </c>
      <c r="E93" s="5">
        <f t="shared" si="3"/>
        <v>-7997.9111499646415</v>
      </c>
      <c r="F93" s="5">
        <f>B93*B93</f>
        <v>12254.49</v>
      </c>
      <c r="G93" s="5">
        <f t="shared" ref="G93" si="7">C93*C93</f>
        <v>6177.9599999999991</v>
      </c>
      <c r="H93" s="5">
        <f t="shared" si="5"/>
        <v>8701.02</v>
      </c>
    </row>
    <row r="96" spans="1:8" x14ac:dyDescent="0.35">
      <c r="A96" s="4" t="s">
        <v>5</v>
      </c>
      <c r="B96" s="4">
        <v>20</v>
      </c>
      <c r="C96" s="4"/>
      <c r="D96" s="4"/>
      <c r="E96" s="4"/>
      <c r="F96" s="4"/>
      <c r="G96" s="4"/>
    </row>
    <row r="97" spans="1:7" x14ac:dyDescent="0.35">
      <c r="A97" s="4"/>
      <c r="B97" s="4"/>
      <c r="C97" s="4"/>
      <c r="D97" s="4"/>
      <c r="E97" s="4"/>
      <c r="F97" s="4"/>
      <c r="G97" s="4"/>
    </row>
    <row r="98" spans="1:7" x14ac:dyDescent="0.35">
      <c r="A98" s="4"/>
      <c r="B98" s="4"/>
      <c r="C98" s="4"/>
      <c r="D98" s="4"/>
      <c r="E98" s="4"/>
      <c r="F98" s="4"/>
      <c r="G98" s="4"/>
    </row>
    <row r="99" spans="1:7" x14ac:dyDescent="0.35">
      <c r="A99" s="6" t="s">
        <v>53</v>
      </c>
      <c r="B99" s="5">
        <f>SUM(B74:B93)</f>
        <v>2817.9</v>
      </c>
      <c r="C99" s="4"/>
      <c r="D99" s="5" t="s">
        <v>8</v>
      </c>
      <c r="E99" s="5">
        <f>B101-B103/B96</f>
        <v>18921.829500000051</v>
      </c>
      <c r="F99" s="4"/>
      <c r="G99" s="4"/>
    </row>
    <row r="100" spans="1:7" x14ac:dyDescent="0.35">
      <c r="A100" s="6" t="s">
        <v>54</v>
      </c>
      <c r="B100" s="5">
        <f>SUM(C74:C93)</f>
        <v>1574.8</v>
      </c>
      <c r="C100" s="4"/>
      <c r="D100" s="5" t="s">
        <v>9</v>
      </c>
      <c r="E100" s="5">
        <f>B102-(B99*B100)/B96</f>
        <v>776.43400000000838</v>
      </c>
      <c r="F100" s="4"/>
      <c r="G100" s="4"/>
    </row>
    <row r="101" spans="1:7" x14ac:dyDescent="0.35">
      <c r="A101" s="6" t="s">
        <v>52</v>
      </c>
      <c r="B101" s="5">
        <f>SUM(F74:F93)</f>
        <v>415949.85000000003</v>
      </c>
      <c r="C101" s="4"/>
      <c r="D101" s="7" t="s">
        <v>58</v>
      </c>
      <c r="E101" s="5">
        <f>E100/E99</f>
        <v>4.1033770016794958E-2</v>
      </c>
      <c r="F101" s="4"/>
      <c r="G101" s="4"/>
    </row>
    <row r="102" spans="1:7" x14ac:dyDescent="0.35">
      <c r="A102" s="5" t="s">
        <v>55</v>
      </c>
      <c r="B102" s="5">
        <f>SUM(H74:H93)</f>
        <v>222657.88</v>
      </c>
      <c r="C102" s="4"/>
      <c r="D102" s="7" t="s">
        <v>59</v>
      </c>
      <c r="E102" s="5">
        <f>B105-E101*B104</f>
        <v>72.958546973483664</v>
      </c>
      <c r="F102" s="4"/>
      <c r="G102" s="4"/>
    </row>
    <row r="103" spans="1:7" x14ac:dyDescent="0.35">
      <c r="A103" s="5" t="s">
        <v>56</v>
      </c>
      <c r="B103" s="5">
        <f>B99*B99</f>
        <v>7940560.4100000001</v>
      </c>
      <c r="C103" s="4"/>
      <c r="D103" s="4"/>
      <c r="E103" s="4"/>
      <c r="F103" s="4"/>
      <c r="G103" s="4"/>
    </row>
    <row r="104" spans="1:7" x14ac:dyDescent="0.35">
      <c r="A104" s="6" t="s">
        <v>6</v>
      </c>
      <c r="B104" s="5">
        <f>B99/B96</f>
        <v>140.89500000000001</v>
      </c>
      <c r="C104" s="4"/>
      <c r="D104" s="5" t="s">
        <v>50</v>
      </c>
      <c r="E104" s="5"/>
      <c r="F104" s="5"/>
      <c r="G104" s="4"/>
    </row>
    <row r="105" spans="1:7" x14ac:dyDescent="0.35">
      <c r="A105" s="6" t="s">
        <v>7</v>
      </c>
      <c r="B105" s="5">
        <f>B100/B96</f>
        <v>78.739999999999995</v>
      </c>
      <c r="C105" s="4"/>
      <c r="D105" s="5" t="s">
        <v>61</v>
      </c>
      <c r="E105" s="5" t="s">
        <v>70</v>
      </c>
      <c r="F105" s="5"/>
      <c r="G105" s="4"/>
    </row>
    <row r="106" spans="1:7" x14ac:dyDescent="0.35">
      <c r="A106" s="6" t="s">
        <v>57</v>
      </c>
      <c r="B106" s="5">
        <f>SUM(G74:G93)</f>
        <v>124039.58000000002</v>
      </c>
      <c r="C106" s="4"/>
      <c r="D106" s="4"/>
      <c r="E106" s="4"/>
      <c r="F106" s="4"/>
      <c r="G106" s="4"/>
    </row>
    <row r="126" spans="9:10" x14ac:dyDescent="0.35">
      <c r="I126" t="s">
        <v>10</v>
      </c>
    </row>
    <row r="127" spans="9:10" ht="15" thickBot="1" x14ac:dyDescent="0.4"/>
    <row r="128" spans="9:10" x14ac:dyDescent="0.35">
      <c r="I128" s="3" t="s">
        <v>11</v>
      </c>
      <c r="J128" s="3"/>
    </row>
    <row r="129" spans="9:17" x14ac:dyDescent="0.35">
      <c r="I129" t="s">
        <v>12</v>
      </c>
      <c r="J129">
        <v>0.89287807600892233</v>
      </c>
    </row>
    <row r="130" spans="9:17" x14ac:dyDescent="0.35">
      <c r="I130" t="s">
        <v>13</v>
      </c>
      <c r="J130">
        <v>0.79723125861739497</v>
      </c>
    </row>
    <row r="131" spans="9:17" x14ac:dyDescent="0.35">
      <c r="I131" t="s">
        <v>14</v>
      </c>
      <c r="J131">
        <v>0.78530368559488883</v>
      </c>
    </row>
    <row r="132" spans="9:17" x14ac:dyDescent="0.35">
      <c r="I132" t="s">
        <v>15</v>
      </c>
      <c r="J132">
        <v>0.68278278421446759</v>
      </c>
    </row>
    <row r="133" spans="9:17" ht="15" thickBot="1" x14ac:dyDescent="0.4">
      <c r="I133" s="1" t="s">
        <v>16</v>
      </c>
      <c r="J133" s="1">
        <v>19</v>
      </c>
    </row>
    <row r="135" spans="9:17" ht="15" thickBot="1" x14ac:dyDescent="0.4">
      <c r="I135" t="s">
        <v>17</v>
      </c>
    </row>
    <row r="136" spans="9:17" x14ac:dyDescent="0.35"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</row>
    <row r="137" spans="9:17" x14ac:dyDescent="0.35">
      <c r="I137" t="s">
        <v>18</v>
      </c>
      <c r="J137">
        <v>1</v>
      </c>
      <c r="K137">
        <v>31.159993540760528</v>
      </c>
      <c r="L137">
        <v>31.159993540760528</v>
      </c>
      <c r="M137">
        <v>66.839352575171517</v>
      </c>
      <c r="N137">
        <v>2.7126831709090326E-7</v>
      </c>
    </row>
    <row r="138" spans="9:17" x14ac:dyDescent="0.35">
      <c r="I138" t="s">
        <v>19</v>
      </c>
      <c r="J138">
        <v>17</v>
      </c>
      <c r="K138">
        <v>7.925269617134223</v>
      </c>
      <c r="L138">
        <v>0.46619233041966018</v>
      </c>
    </row>
    <row r="139" spans="9:17" ht="15" thickBot="1" x14ac:dyDescent="0.4">
      <c r="I139" s="1" t="s">
        <v>20</v>
      </c>
      <c r="J139" s="1">
        <v>18</v>
      </c>
      <c r="K139" s="1">
        <v>39.085263157894751</v>
      </c>
      <c r="L139" s="1"/>
      <c r="M139" s="1"/>
      <c r="N139" s="1"/>
    </row>
    <row r="140" spans="9:17" ht="15" thickBot="1" x14ac:dyDescent="0.4"/>
    <row r="141" spans="9:17" x14ac:dyDescent="0.35">
      <c r="I141" s="2"/>
      <c r="J141" s="2" t="s">
        <v>27</v>
      </c>
      <c r="K141" s="2" t="s">
        <v>15</v>
      </c>
      <c r="L141" s="2" t="s">
        <v>28</v>
      </c>
      <c r="M141" s="2" t="s">
        <v>29</v>
      </c>
      <c r="N141" s="2" t="s">
        <v>30</v>
      </c>
      <c r="O141" s="2" t="s">
        <v>31</v>
      </c>
      <c r="P141" s="2" t="s">
        <v>32</v>
      </c>
      <c r="Q141" s="2" t="s">
        <v>33</v>
      </c>
    </row>
    <row r="142" spans="9:17" x14ac:dyDescent="0.35">
      <c r="I142" t="s">
        <v>21</v>
      </c>
      <c r="J142">
        <v>72.994013765883651</v>
      </c>
      <c r="K142">
        <v>0.72535014776620799</v>
      </c>
      <c r="L142">
        <v>100.63279643724674</v>
      </c>
      <c r="M142">
        <v>4.8608294640863325E-25</v>
      </c>
      <c r="N142">
        <v>71.4636587247428</v>
      </c>
      <c r="O142">
        <v>74.524368807024501</v>
      </c>
      <c r="P142">
        <v>71.4636587247428</v>
      </c>
      <c r="Q142">
        <v>74.524368807024501</v>
      </c>
    </row>
    <row r="143" spans="9:17" ht="15" thickBot="1" x14ac:dyDescent="0.4">
      <c r="I143" s="1">
        <v>125.3</v>
      </c>
      <c r="J143" s="1">
        <v>4.0857809718565924E-2</v>
      </c>
      <c r="K143" s="1">
        <v>4.9975709014149182E-3</v>
      </c>
      <c r="L143" s="1">
        <v>8.1755337792202631</v>
      </c>
      <c r="M143" s="1">
        <v>2.7126831709090236E-7</v>
      </c>
      <c r="N143" s="1">
        <v>3.031385677943424E-2</v>
      </c>
      <c r="O143" s="1">
        <v>5.1401762657697608E-2</v>
      </c>
      <c r="P143" s="1">
        <v>3.031385677943424E-2</v>
      </c>
      <c r="Q143" s="1">
        <v>5.1401762657697608E-2</v>
      </c>
    </row>
    <row r="147" spans="9:15" x14ac:dyDescent="0.35">
      <c r="I147" t="s">
        <v>34</v>
      </c>
      <c r="N147" t="s">
        <v>39</v>
      </c>
    </row>
    <row r="148" spans="9:15" ht="15" thickBot="1" x14ac:dyDescent="0.4"/>
    <row r="149" spans="9:15" x14ac:dyDescent="0.35">
      <c r="I149" s="2" t="s">
        <v>35</v>
      </c>
      <c r="J149" s="2" t="s">
        <v>63</v>
      </c>
      <c r="K149" s="2" t="s">
        <v>37</v>
      </c>
      <c r="L149" s="2" t="s">
        <v>38</v>
      </c>
      <c r="N149" s="2" t="s">
        <v>40</v>
      </c>
      <c r="O149" s="2">
        <v>77.900000000000006</v>
      </c>
    </row>
    <row r="150" spans="9:15" x14ac:dyDescent="0.35">
      <c r="I150">
        <v>1</v>
      </c>
      <c r="J150">
        <v>77.006250680246822</v>
      </c>
      <c r="K150">
        <v>-0.20625068024682491</v>
      </c>
      <c r="L150">
        <v>-0.31083121014281323</v>
      </c>
      <c r="N150">
        <v>2.6315789473684212</v>
      </c>
      <c r="O150">
        <v>76.7</v>
      </c>
    </row>
    <row r="151" spans="9:15" x14ac:dyDescent="0.35">
      <c r="I151">
        <v>2</v>
      </c>
      <c r="J151">
        <v>81.22277664320282</v>
      </c>
      <c r="K151">
        <v>0.27722335679717958</v>
      </c>
      <c r="L151">
        <v>0.41779096859219567</v>
      </c>
      <c r="N151">
        <v>7.8947368421052637</v>
      </c>
      <c r="O151">
        <v>76.8</v>
      </c>
    </row>
    <row r="152" spans="9:15" x14ac:dyDescent="0.35">
      <c r="I152">
        <v>3</v>
      </c>
      <c r="J152">
        <v>79.012369137428408</v>
      </c>
      <c r="K152">
        <v>0.78763086257158932</v>
      </c>
      <c r="L152">
        <v>1.1870033779572167</v>
      </c>
      <c r="N152">
        <v>13.157894736842106</v>
      </c>
      <c r="O152">
        <v>77</v>
      </c>
    </row>
    <row r="153" spans="9:15" x14ac:dyDescent="0.35">
      <c r="I153">
        <v>4</v>
      </c>
      <c r="J153">
        <v>78.955168203822424</v>
      </c>
      <c r="K153">
        <v>-0.75516820382242145</v>
      </c>
      <c r="L153">
        <v>-1.1380803514179509</v>
      </c>
      <c r="N153">
        <v>18.421052631578949</v>
      </c>
      <c r="O153">
        <v>77</v>
      </c>
    </row>
    <row r="154" spans="9:15" x14ac:dyDescent="0.35">
      <c r="I154">
        <v>5</v>
      </c>
      <c r="J154">
        <v>78.088982637788817</v>
      </c>
      <c r="K154">
        <v>0.21101736221118017</v>
      </c>
      <c r="L154">
        <v>0.31801486413887942</v>
      </c>
      <c r="N154">
        <v>23.684210526315791</v>
      </c>
      <c r="O154">
        <v>77.5</v>
      </c>
    </row>
    <row r="155" spans="9:15" x14ac:dyDescent="0.35">
      <c r="I155">
        <v>6</v>
      </c>
      <c r="J155">
        <v>77.578260016306743</v>
      </c>
      <c r="K155">
        <v>-7.8260016306742841E-2</v>
      </c>
      <c r="L155">
        <v>-0.11794218348909254</v>
      </c>
      <c r="N155">
        <v>28.947368421052634</v>
      </c>
      <c r="O155">
        <v>78.099999999999994</v>
      </c>
    </row>
    <row r="156" spans="9:15" x14ac:dyDescent="0.35">
      <c r="I156">
        <v>7</v>
      </c>
      <c r="J156">
        <v>77.905122494055277</v>
      </c>
      <c r="K156">
        <v>-0.90512249405527712</v>
      </c>
      <c r="L156">
        <v>-1.3640697806087072</v>
      </c>
      <c r="N156">
        <v>34.21052631578948</v>
      </c>
      <c r="O156">
        <v>78.2</v>
      </c>
    </row>
    <row r="157" spans="9:15" x14ac:dyDescent="0.35">
      <c r="I157">
        <v>8</v>
      </c>
      <c r="J157">
        <v>79.58029269251648</v>
      </c>
      <c r="K157">
        <v>0.51970730748351457</v>
      </c>
      <c r="L157">
        <v>0.78322772614298219</v>
      </c>
      <c r="N157">
        <v>39.473684210526315</v>
      </c>
      <c r="O157">
        <v>78.2</v>
      </c>
    </row>
    <row r="158" spans="9:15" x14ac:dyDescent="0.35">
      <c r="I158">
        <v>9</v>
      </c>
      <c r="J158">
        <v>80.303475924535093</v>
      </c>
      <c r="K158">
        <v>-0.1034759245350898</v>
      </c>
      <c r="L158">
        <v>-0.15594395521700841</v>
      </c>
      <c r="N158">
        <v>44.736842105263165</v>
      </c>
      <c r="O158">
        <v>78.3</v>
      </c>
    </row>
    <row r="159" spans="9:15" x14ac:dyDescent="0.35">
      <c r="I159">
        <v>10</v>
      </c>
      <c r="J159">
        <v>79.510834415994921</v>
      </c>
      <c r="K159">
        <v>0.3891655840050845</v>
      </c>
      <c r="L159">
        <v>0.58649411132837814</v>
      </c>
      <c r="N159">
        <v>50</v>
      </c>
      <c r="O159">
        <v>78.599999999999994</v>
      </c>
    </row>
    <row r="160" spans="9:15" x14ac:dyDescent="0.35">
      <c r="I160">
        <v>11</v>
      </c>
      <c r="J160">
        <v>78.951082422850561</v>
      </c>
      <c r="K160">
        <v>4.8917577149438785E-2</v>
      </c>
      <c r="L160">
        <v>7.3721500866897424E-2</v>
      </c>
      <c r="N160">
        <v>55.26315789473685</v>
      </c>
      <c r="O160">
        <v>79</v>
      </c>
    </row>
    <row r="161" spans="1:15" x14ac:dyDescent="0.35">
      <c r="I161">
        <v>12</v>
      </c>
      <c r="J161">
        <v>76.062435275747958</v>
      </c>
      <c r="K161">
        <v>0.63756472425204436</v>
      </c>
      <c r="L161">
        <v>0.96084538749870496</v>
      </c>
      <c r="N161">
        <v>60.526315789473685</v>
      </c>
      <c r="O161">
        <v>79</v>
      </c>
    </row>
    <row r="162" spans="1:15" x14ac:dyDescent="0.35">
      <c r="I162">
        <v>13</v>
      </c>
      <c r="J162">
        <v>79.179886157274538</v>
      </c>
      <c r="K162">
        <v>-0.97988615727453521</v>
      </c>
      <c r="L162">
        <v>-1.4767427661491246</v>
      </c>
      <c r="N162">
        <v>65.789473684210535</v>
      </c>
      <c r="O162">
        <v>79.5</v>
      </c>
    </row>
    <row r="163" spans="1:15" x14ac:dyDescent="0.35">
      <c r="I163">
        <v>14</v>
      </c>
      <c r="J163">
        <v>78.885709927300852</v>
      </c>
      <c r="K163">
        <v>0.61429007269914848</v>
      </c>
      <c r="L163">
        <v>0.92576919720841722</v>
      </c>
      <c r="N163">
        <v>71.052631578947384</v>
      </c>
      <c r="O163">
        <v>79.8</v>
      </c>
    </row>
    <row r="164" spans="1:15" x14ac:dyDescent="0.35">
      <c r="I164">
        <v>15</v>
      </c>
      <c r="J164">
        <v>78.101239980704392</v>
      </c>
      <c r="K164">
        <v>-1.2399807043976807E-3</v>
      </c>
      <c r="L164">
        <v>-1.8687196689020492E-3</v>
      </c>
      <c r="N164">
        <v>76.31578947368422</v>
      </c>
      <c r="O164">
        <v>79.900000000000006</v>
      </c>
    </row>
    <row r="165" spans="1:15" x14ac:dyDescent="0.35">
      <c r="I165">
        <v>16</v>
      </c>
      <c r="J165">
        <v>81.116546337934551</v>
      </c>
      <c r="K165">
        <v>0.38345366206544895</v>
      </c>
      <c r="L165">
        <v>0.57788592828329211</v>
      </c>
      <c r="N165">
        <v>81.578947368421055</v>
      </c>
      <c r="O165">
        <v>80.099999999999994</v>
      </c>
    </row>
    <row r="166" spans="1:15" x14ac:dyDescent="0.35">
      <c r="I166">
        <v>17</v>
      </c>
      <c r="J166">
        <v>78.407673553593639</v>
      </c>
      <c r="K166">
        <v>-1.4076735535936393</v>
      </c>
      <c r="L166">
        <v>-2.1214420899166027</v>
      </c>
      <c r="N166">
        <v>86.842105263157904</v>
      </c>
      <c r="O166">
        <v>80.2</v>
      </c>
    </row>
    <row r="167" spans="1:15" x14ac:dyDescent="0.35">
      <c r="I167">
        <v>18</v>
      </c>
      <c r="J167">
        <v>79.51492019696677</v>
      </c>
      <c r="K167">
        <v>-0.51492019696677005</v>
      </c>
      <c r="L167">
        <v>-0.77601328518585966</v>
      </c>
      <c r="N167">
        <v>92.105263157894754</v>
      </c>
      <c r="O167">
        <v>81.5</v>
      </c>
    </row>
    <row r="168" spans="1:15" ht="15" thickBot="1" x14ac:dyDescent="0.4">
      <c r="I168" s="1">
        <v>19</v>
      </c>
      <c r="J168" s="1">
        <v>77.516973301728896</v>
      </c>
      <c r="K168" s="1">
        <v>1.0830266982710981</v>
      </c>
      <c r="L168" s="1">
        <v>1.6321812797791402</v>
      </c>
      <c r="N168" s="1">
        <v>97.368421052631589</v>
      </c>
      <c r="O168" s="1">
        <v>81.5</v>
      </c>
    </row>
    <row r="175" spans="1:15" x14ac:dyDescent="0.35">
      <c r="A175" s="4" t="s">
        <v>66</v>
      </c>
      <c r="B175" s="4"/>
      <c r="C175" s="4"/>
      <c r="D175" s="4"/>
      <c r="E175" s="4"/>
      <c r="F175" s="4"/>
      <c r="G175" s="4"/>
    </row>
    <row r="176" spans="1:15" x14ac:dyDescent="0.35">
      <c r="A176" s="4"/>
      <c r="B176" s="4"/>
      <c r="C176" s="4"/>
      <c r="D176" s="4"/>
      <c r="E176" s="4"/>
      <c r="F176" s="4"/>
      <c r="G176" s="4"/>
    </row>
    <row r="177" spans="1:7" x14ac:dyDescent="0.35">
      <c r="A177" s="4"/>
      <c r="B177" s="4"/>
      <c r="C177" s="4"/>
      <c r="D177" s="4"/>
      <c r="E177" s="4"/>
      <c r="F177" s="4"/>
      <c r="G177" s="4"/>
    </row>
    <row r="178" spans="1:7" x14ac:dyDescent="0.35">
      <c r="A178" s="5" t="s">
        <v>68</v>
      </c>
      <c r="B178" s="5" t="s">
        <v>69</v>
      </c>
      <c r="C178" s="5"/>
      <c r="D178" s="5"/>
      <c r="E178" s="5"/>
      <c r="F178" s="4"/>
      <c r="G178" s="4"/>
    </row>
    <row r="179" spans="1:7" x14ac:dyDescent="0.35">
      <c r="A179" s="5" t="s">
        <v>0</v>
      </c>
      <c r="B179" s="5" t="s">
        <v>1</v>
      </c>
      <c r="C179" s="5" t="s">
        <v>2</v>
      </c>
      <c r="D179" s="5" t="s">
        <v>3</v>
      </c>
      <c r="E179" s="5" t="s">
        <v>4</v>
      </c>
      <c r="F179" s="4"/>
      <c r="G179" s="4"/>
    </row>
    <row r="180" spans="1:7" x14ac:dyDescent="0.35">
      <c r="A180" s="5">
        <v>243</v>
      </c>
      <c r="B180" s="5">
        <v>17</v>
      </c>
      <c r="C180" s="5">
        <f>A180*A180</f>
        <v>59049</v>
      </c>
      <c r="D180" s="5">
        <f>A180*B180</f>
        <v>4131</v>
      </c>
      <c r="E180" s="5">
        <f>B180*B180</f>
        <v>289</v>
      </c>
      <c r="F180" s="4"/>
      <c r="G180" s="4"/>
    </row>
    <row r="181" spans="1:7" x14ac:dyDescent="0.35">
      <c r="A181" s="5">
        <v>629</v>
      </c>
      <c r="B181" s="5">
        <v>56</v>
      </c>
      <c r="C181" s="5">
        <f t="shared" ref="C181:C193" si="8">A181*A181</f>
        <v>395641</v>
      </c>
      <c r="D181" s="5">
        <f>A181*B181</f>
        <v>35224</v>
      </c>
      <c r="E181" s="5">
        <f t="shared" ref="E181:E193" si="9">B181*B181</f>
        <v>3136</v>
      </c>
      <c r="F181" s="4"/>
      <c r="G181" s="4"/>
    </row>
    <row r="182" spans="1:7" x14ac:dyDescent="0.35">
      <c r="A182" s="5">
        <v>754</v>
      </c>
      <c r="B182" s="5">
        <v>67</v>
      </c>
      <c r="C182" s="5">
        <f t="shared" si="8"/>
        <v>568516</v>
      </c>
      <c r="D182" s="5">
        <f t="shared" ref="D182:D193" si="10">A182*B182</f>
        <v>50518</v>
      </c>
      <c r="E182" s="5">
        <f t="shared" si="9"/>
        <v>4489</v>
      </c>
      <c r="F182" s="4"/>
      <c r="G182" s="4"/>
    </row>
    <row r="183" spans="1:7" x14ac:dyDescent="0.35">
      <c r="A183" s="5">
        <v>456</v>
      </c>
      <c r="B183" s="5">
        <v>87</v>
      </c>
      <c r="C183" s="5">
        <f t="shared" si="8"/>
        <v>207936</v>
      </c>
      <c r="D183" s="5">
        <f t="shared" si="10"/>
        <v>39672</v>
      </c>
      <c r="E183" s="5">
        <f t="shared" si="9"/>
        <v>7569</v>
      </c>
      <c r="F183" s="4"/>
      <c r="G183" s="4"/>
    </row>
    <row r="184" spans="1:7" x14ac:dyDescent="0.35">
      <c r="A184" s="5">
        <v>76</v>
      </c>
      <c r="B184" s="5">
        <v>23</v>
      </c>
      <c r="C184" s="5">
        <f t="shared" si="8"/>
        <v>5776</v>
      </c>
      <c r="D184" s="5">
        <f t="shared" si="10"/>
        <v>1748</v>
      </c>
      <c r="E184" s="5">
        <f t="shared" si="9"/>
        <v>529</v>
      </c>
      <c r="F184" s="4"/>
      <c r="G184" s="4"/>
    </row>
    <row r="185" spans="1:7" x14ac:dyDescent="0.35">
      <c r="A185" s="5">
        <v>98</v>
      </c>
      <c r="B185" s="5">
        <v>43</v>
      </c>
      <c r="C185" s="5">
        <f t="shared" si="8"/>
        <v>9604</v>
      </c>
      <c r="D185" s="5">
        <f t="shared" si="10"/>
        <v>4214</v>
      </c>
      <c r="E185" s="5">
        <f t="shared" si="9"/>
        <v>1849</v>
      </c>
      <c r="F185" s="4"/>
      <c r="G185" s="4"/>
    </row>
    <row r="186" spans="1:7" x14ac:dyDescent="0.35">
      <c r="A186" s="5">
        <v>12</v>
      </c>
      <c r="B186" s="5">
        <v>34</v>
      </c>
      <c r="C186" s="5">
        <f t="shared" si="8"/>
        <v>144</v>
      </c>
      <c r="D186" s="5">
        <f t="shared" si="10"/>
        <v>408</v>
      </c>
      <c r="E186" s="5">
        <f t="shared" si="9"/>
        <v>1156</v>
      </c>
      <c r="F186" s="4"/>
      <c r="G186" s="4"/>
    </row>
    <row r="187" spans="1:7" x14ac:dyDescent="0.35">
      <c r="A187" s="5">
        <v>398</v>
      </c>
      <c r="B187" s="5">
        <v>23</v>
      </c>
      <c r="C187" s="5">
        <f t="shared" si="8"/>
        <v>158404</v>
      </c>
      <c r="D187" s="5">
        <f t="shared" si="10"/>
        <v>9154</v>
      </c>
      <c r="E187" s="5">
        <f t="shared" si="9"/>
        <v>529</v>
      </c>
      <c r="F187" s="4"/>
      <c r="G187" s="4"/>
    </row>
    <row r="188" spans="1:7" x14ac:dyDescent="0.35">
      <c r="A188" s="5">
        <v>900</v>
      </c>
      <c r="B188" s="5">
        <v>12</v>
      </c>
      <c r="C188" s="5">
        <f t="shared" si="8"/>
        <v>810000</v>
      </c>
      <c r="D188" s="5">
        <f t="shared" si="10"/>
        <v>10800</v>
      </c>
      <c r="E188" s="5">
        <f t="shared" si="9"/>
        <v>144</v>
      </c>
      <c r="F188" s="4"/>
      <c r="G188" s="4"/>
    </row>
    <row r="189" spans="1:7" x14ac:dyDescent="0.35">
      <c r="A189" s="5">
        <v>456</v>
      </c>
      <c r="B189" s="5">
        <v>30</v>
      </c>
      <c r="C189" s="5">
        <f t="shared" si="8"/>
        <v>207936</v>
      </c>
      <c r="D189" s="5">
        <f t="shared" si="10"/>
        <v>13680</v>
      </c>
      <c r="E189" s="5">
        <f t="shared" si="9"/>
        <v>900</v>
      </c>
      <c r="F189" s="4"/>
      <c r="G189" s="4"/>
    </row>
    <row r="190" spans="1:7" x14ac:dyDescent="0.35">
      <c r="A190" s="5">
        <v>322</v>
      </c>
      <c r="B190" s="5">
        <v>84</v>
      </c>
      <c r="C190" s="5">
        <f t="shared" si="8"/>
        <v>103684</v>
      </c>
      <c r="D190" s="5">
        <f t="shared" si="10"/>
        <v>27048</v>
      </c>
      <c r="E190" s="5">
        <f t="shared" si="9"/>
        <v>7056</v>
      </c>
      <c r="F190" s="4"/>
      <c r="G190" s="4"/>
    </row>
    <row r="191" spans="1:7" x14ac:dyDescent="0.35">
      <c r="A191" s="5">
        <v>308</v>
      </c>
      <c r="B191" s="5">
        <v>12</v>
      </c>
      <c r="C191" s="5">
        <f t="shared" si="8"/>
        <v>94864</v>
      </c>
      <c r="D191" s="5">
        <f t="shared" si="10"/>
        <v>3696</v>
      </c>
      <c r="E191" s="5">
        <f t="shared" si="9"/>
        <v>144</v>
      </c>
      <c r="F191" s="4"/>
      <c r="G191" s="4"/>
    </row>
    <row r="192" spans="1:7" x14ac:dyDescent="0.35">
      <c r="A192" s="5">
        <v>432</v>
      </c>
      <c r="B192" s="5">
        <v>22</v>
      </c>
      <c r="C192" s="5">
        <f>A192*A192</f>
        <v>186624</v>
      </c>
      <c r="D192" s="5">
        <f t="shared" si="10"/>
        <v>9504</v>
      </c>
      <c r="E192" s="5">
        <f t="shared" si="9"/>
        <v>484</v>
      </c>
      <c r="F192" s="4"/>
      <c r="G192" s="4"/>
    </row>
    <row r="193" spans="1:7" x14ac:dyDescent="0.35">
      <c r="A193" s="5">
        <v>128</v>
      </c>
      <c r="B193" s="5">
        <v>10</v>
      </c>
      <c r="C193" s="5">
        <f t="shared" si="8"/>
        <v>16384</v>
      </c>
      <c r="D193" s="5">
        <f t="shared" si="10"/>
        <v>1280</v>
      </c>
      <c r="E193" s="5">
        <f t="shared" si="9"/>
        <v>100</v>
      </c>
      <c r="F193" s="4"/>
      <c r="G193" s="4"/>
    </row>
    <row r="194" spans="1:7" x14ac:dyDescent="0.35">
      <c r="A194" s="4"/>
      <c r="B194" s="4"/>
      <c r="C194" s="4"/>
      <c r="D194" s="4"/>
      <c r="E194" s="4"/>
      <c r="F194" s="4"/>
      <c r="G194" s="4"/>
    </row>
    <row r="195" spans="1:7" x14ac:dyDescent="0.35">
      <c r="A195" s="4" t="s">
        <v>5</v>
      </c>
      <c r="B195" s="4">
        <v>14</v>
      </c>
      <c r="C195" s="4"/>
      <c r="D195" s="4"/>
      <c r="E195" s="4"/>
      <c r="F195" s="4"/>
      <c r="G195" s="4"/>
    </row>
    <row r="196" spans="1:7" x14ac:dyDescent="0.35">
      <c r="A196" s="4"/>
      <c r="B196" s="4"/>
      <c r="C196" s="4"/>
      <c r="D196" s="4"/>
      <c r="E196" s="4"/>
      <c r="F196" s="4"/>
      <c r="G196" s="4"/>
    </row>
    <row r="197" spans="1:7" x14ac:dyDescent="0.35">
      <c r="A197" s="6" t="s">
        <v>53</v>
      </c>
      <c r="B197" s="4">
        <f>SUM(A180:A193)</f>
        <v>5212</v>
      </c>
      <c r="C197" s="4"/>
      <c r="D197" s="5" t="s">
        <v>8</v>
      </c>
      <c r="E197" s="4">
        <f>B199-B201/B195</f>
        <v>884208.85714285704</v>
      </c>
      <c r="F197" s="4"/>
      <c r="G197" s="4"/>
    </row>
    <row r="198" spans="1:7" x14ac:dyDescent="0.35">
      <c r="A198" s="6" t="s">
        <v>54</v>
      </c>
      <c r="B198" s="4">
        <f>SUM(B180:B193)</f>
        <v>520</v>
      </c>
      <c r="C198" s="4"/>
      <c r="D198" s="5" t="s">
        <v>9</v>
      </c>
      <c r="E198" s="4">
        <f>B200-(B197*B198)/B195</f>
        <v>17488.42857142858</v>
      </c>
      <c r="F198" s="4"/>
      <c r="G198" s="4"/>
    </row>
    <row r="199" spans="1:7" x14ac:dyDescent="0.35">
      <c r="A199" s="6" t="s">
        <v>52</v>
      </c>
      <c r="B199" s="4">
        <f>SUM(C180:C193)</f>
        <v>2824562</v>
      </c>
      <c r="C199" s="4"/>
      <c r="D199" s="7" t="s">
        <v>58</v>
      </c>
      <c r="E199" s="4">
        <f>E198/E197</f>
        <v>1.9778617269158461E-2</v>
      </c>
      <c r="F199" s="4"/>
      <c r="G199" s="4"/>
    </row>
    <row r="200" spans="1:7" x14ac:dyDescent="0.35">
      <c r="A200" s="5" t="s">
        <v>55</v>
      </c>
      <c r="B200" s="4">
        <f>SUM(D180:D193)</f>
        <v>211077</v>
      </c>
      <c r="C200" s="4"/>
      <c r="D200" s="7" t="s">
        <v>59</v>
      </c>
      <c r="E200" s="4">
        <f>B203-E199*B202</f>
        <v>29.779560485224724</v>
      </c>
      <c r="F200" s="4"/>
      <c r="G200" s="4"/>
    </row>
    <row r="201" spans="1:7" x14ac:dyDescent="0.35">
      <c r="A201" s="5" t="s">
        <v>56</v>
      </c>
      <c r="B201" s="4">
        <f>B197*B197</f>
        <v>27164944</v>
      </c>
      <c r="C201" s="4"/>
      <c r="D201" s="4"/>
      <c r="E201" s="4"/>
      <c r="F201" s="4"/>
      <c r="G201" s="4"/>
    </row>
    <row r="202" spans="1:7" x14ac:dyDescent="0.35">
      <c r="A202" s="6" t="s">
        <v>6</v>
      </c>
      <c r="B202" s="4">
        <f>B197/B195</f>
        <v>372.28571428571428</v>
      </c>
      <c r="C202" s="4"/>
      <c r="D202" s="5" t="s">
        <v>50</v>
      </c>
      <c r="E202" s="4"/>
      <c r="F202" s="4"/>
      <c r="G202" s="4"/>
    </row>
    <row r="203" spans="1:7" x14ac:dyDescent="0.35">
      <c r="A203" s="6" t="s">
        <v>7</v>
      </c>
      <c r="B203" s="4">
        <f>B198/B195</f>
        <v>37.142857142857146</v>
      </c>
      <c r="C203" s="4"/>
      <c r="D203" s="5" t="s">
        <v>61</v>
      </c>
      <c r="E203" s="4" t="s">
        <v>67</v>
      </c>
      <c r="F203" s="4"/>
      <c r="G203" s="4"/>
    </row>
    <row r="204" spans="1:7" x14ac:dyDescent="0.35">
      <c r="A204" s="6" t="s">
        <v>57</v>
      </c>
      <c r="B204" s="4">
        <f>SUM(E180:E193)</f>
        <v>28374</v>
      </c>
      <c r="C204" s="4"/>
      <c r="D204" s="4"/>
      <c r="E204" s="4"/>
      <c r="F204" s="4"/>
      <c r="G204" s="4"/>
    </row>
    <row r="218" spans="10:11" x14ac:dyDescent="0.35">
      <c r="J218" t="s">
        <v>10</v>
      </c>
    </row>
    <row r="219" spans="10:11" ht="15" thickBot="1" x14ac:dyDescent="0.4"/>
    <row r="220" spans="10:11" x14ac:dyDescent="0.35">
      <c r="J220" s="3" t="s">
        <v>11</v>
      </c>
      <c r="K220" s="3"/>
    </row>
    <row r="221" spans="10:11" x14ac:dyDescent="0.35">
      <c r="J221" t="s">
        <v>12</v>
      </c>
      <c r="K221">
        <v>0.16990554269313188</v>
      </c>
    </row>
    <row r="222" spans="10:11" x14ac:dyDescent="0.35">
      <c r="J222" t="s">
        <v>13</v>
      </c>
      <c r="K222">
        <v>2.8867893437847656E-2</v>
      </c>
    </row>
    <row r="223" spans="10:11" x14ac:dyDescent="0.35">
      <c r="J223" t="s">
        <v>14</v>
      </c>
      <c r="K223">
        <v>-5.9416843522348002E-2</v>
      </c>
    </row>
    <row r="224" spans="10:11" x14ac:dyDescent="0.35">
      <c r="J224" t="s">
        <v>15</v>
      </c>
      <c r="K224">
        <v>27.5909208510142</v>
      </c>
    </row>
    <row r="225" spans="10:18" ht="15" thickBot="1" x14ac:dyDescent="0.4">
      <c r="J225" s="1" t="s">
        <v>16</v>
      </c>
      <c r="K225" s="1">
        <v>13</v>
      </c>
    </row>
    <row r="227" spans="10:18" ht="15" thickBot="1" x14ac:dyDescent="0.4">
      <c r="J227" t="s">
        <v>17</v>
      </c>
    </row>
    <row r="228" spans="10:18" x14ac:dyDescent="0.35">
      <c r="J228" s="2"/>
      <c r="K228" s="2" t="s">
        <v>22</v>
      </c>
      <c r="L228" s="2" t="s">
        <v>23</v>
      </c>
      <c r="M228" s="2" t="s">
        <v>24</v>
      </c>
      <c r="N228" s="2" t="s">
        <v>25</v>
      </c>
      <c r="O228" s="2" t="s">
        <v>26</v>
      </c>
    </row>
    <row r="229" spans="10:18" x14ac:dyDescent="0.35">
      <c r="J229" t="s">
        <v>18</v>
      </c>
      <c r="K229">
        <v>1</v>
      </c>
      <c r="L229">
        <v>248.92118329299774</v>
      </c>
      <c r="M229">
        <v>248.92118329299774</v>
      </c>
      <c r="N229">
        <v>0.32698623150299611</v>
      </c>
      <c r="O229">
        <v>0.57893678293236961</v>
      </c>
    </row>
    <row r="230" spans="10:18" x14ac:dyDescent="0.35">
      <c r="J230" t="s">
        <v>19</v>
      </c>
      <c r="K230">
        <v>11</v>
      </c>
      <c r="L230">
        <v>8373.8480474762328</v>
      </c>
      <c r="M230">
        <v>761.25891340693022</v>
      </c>
    </row>
    <row r="231" spans="10:18" ht="15" thickBot="1" x14ac:dyDescent="0.4">
      <c r="J231" s="1" t="s">
        <v>20</v>
      </c>
      <c r="K231" s="1">
        <v>12</v>
      </c>
      <c r="L231" s="1">
        <v>8622.7692307692305</v>
      </c>
      <c r="M231" s="1"/>
      <c r="N231" s="1"/>
      <c r="O231" s="1"/>
    </row>
    <row r="232" spans="10:18" ht="15" thickBot="1" x14ac:dyDescent="0.4"/>
    <row r="233" spans="10:18" x14ac:dyDescent="0.35">
      <c r="J233" s="2"/>
      <c r="K233" s="2" t="s">
        <v>27</v>
      </c>
      <c r="L233" s="2" t="s">
        <v>15</v>
      </c>
      <c r="M233" s="2" t="s">
        <v>28</v>
      </c>
      <c r="N233" s="2" t="s">
        <v>29</v>
      </c>
      <c r="O233" s="2" t="s">
        <v>30</v>
      </c>
      <c r="P233" s="2" t="s">
        <v>31</v>
      </c>
      <c r="Q233" s="2" t="s">
        <v>32</v>
      </c>
      <c r="R233" s="2" t="s">
        <v>33</v>
      </c>
    </row>
    <row r="234" spans="10:18" x14ac:dyDescent="0.35">
      <c r="J234" t="s">
        <v>21</v>
      </c>
      <c r="K234">
        <v>32.212749411493483</v>
      </c>
      <c r="L234">
        <v>13.673232513068012</v>
      </c>
      <c r="M234">
        <v>2.3558986055935618</v>
      </c>
      <c r="N234">
        <v>3.8088675443818852E-2</v>
      </c>
      <c r="O234">
        <v>2.1181675597482901</v>
      </c>
      <c r="P234">
        <v>62.30733126323868</v>
      </c>
      <c r="Q234">
        <v>2.1181675597482901</v>
      </c>
      <c r="R234">
        <v>62.30733126323868</v>
      </c>
    </row>
    <row r="235" spans="10:18" ht="15" thickBot="1" x14ac:dyDescent="0.4">
      <c r="J235" s="1">
        <v>243</v>
      </c>
      <c r="K235" s="1">
        <v>1.6951953642701693E-2</v>
      </c>
      <c r="L235" s="1">
        <v>2.9645243576627161E-2</v>
      </c>
      <c r="M235" s="1">
        <v>0.57182709930799547</v>
      </c>
      <c r="N235" s="1">
        <v>0.57893678293236961</v>
      </c>
      <c r="O235" s="1">
        <v>-4.8296787536756661E-2</v>
      </c>
      <c r="P235" s="1">
        <v>8.2200694822160039E-2</v>
      </c>
      <c r="Q235" s="1">
        <v>-4.8296787536756661E-2</v>
      </c>
      <c r="R235" s="1">
        <v>8.2200694822160039E-2</v>
      </c>
    </row>
    <row r="239" spans="10:18" x14ac:dyDescent="0.35">
      <c r="J239" t="s">
        <v>34</v>
      </c>
      <c r="O239" t="s">
        <v>39</v>
      </c>
    </row>
    <row r="240" spans="10:18" ht="15" thickBot="1" x14ac:dyDescent="0.4"/>
    <row r="241" spans="10:16" x14ac:dyDescent="0.35">
      <c r="J241" s="2" t="s">
        <v>35</v>
      </c>
      <c r="K241" s="2" t="s">
        <v>72</v>
      </c>
      <c r="L241" s="2" t="s">
        <v>37</v>
      </c>
      <c r="M241" s="2" t="s">
        <v>38</v>
      </c>
      <c r="O241" s="2" t="s">
        <v>40</v>
      </c>
      <c r="P241" s="2">
        <v>17</v>
      </c>
    </row>
    <row r="242" spans="10:16" x14ac:dyDescent="0.35">
      <c r="J242">
        <v>1</v>
      </c>
      <c r="K242">
        <v>42.875528252752851</v>
      </c>
      <c r="L242">
        <v>13.124471747247149</v>
      </c>
      <c r="M242">
        <v>0.49683240869438056</v>
      </c>
      <c r="O242">
        <v>3.8461538461538463</v>
      </c>
      <c r="P242">
        <v>10</v>
      </c>
    </row>
    <row r="243" spans="10:16" x14ac:dyDescent="0.35">
      <c r="J243">
        <v>2</v>
      </c>
      <c r="K243">
        <v>44.994522458090557</v>
      </c>
      <c r="L243">
        <v>22.005477541909443</v>
      </c>
      <c r="M243">
        <v>0.83302662554096041</v>
      </c>
      <c r="O243">
        <v>11.538461538461538</v>
      </c>
      <c r="P243">
        <v>12</v>
      </c>
    </row>
    <row r="244" spans="10:16" x14ac:dyDescent="0.35">
      <c r="J244">
        <v>3</v>
      </c>
      <c r="K244">
        <v>39.942840272565455</v>
      </c>
      <c r="L244">
        <v>47.057159727434545</v>
      </c>
      <c r="M244">
        <v>1.7813686115482208</v>
      </c>
      <c r="O244">
        <v>19.23076923076923</v>
      </c>
      <c r="P244">
        <v>12</v>
      </c>
    </row>
    <row r="245" spans="10:16" x14ac:dyDescent="0.35">
      <c r="J245">
        <v>4</v>
      </c>
      <c r="K245">
        <v>33.501097888338812</v>
      </c>
      <c r="L245">
        <v>-10.501097888338812</v>
      </c>
      <c r="M245">
        <v>-0.39752348576567803</v>
      </c>
      <c r="O245">
        <v>26.923076923076923</v>
      </c>
      <c r="P245">
        <v>22</v>
      </c>
    </row>
    <row r="246" spans="10:16" x14ac:dyDescent="0.35">
      <c r="J246">
        <v>5</v>
      </c>
      <c r="K246">
        <v>33.874040868478247</v>
      </c>
      <c r="L246">
        <v>9.1259591315217534</v>
      </c>
      <c r="M246">
        <v>0.34546702863766304</v>
      </c>
      <c r="O246">
        <v>34.615384615384613</v>
      </c>
      <c r="P246">
        <v>23</v>
      </c>
    </row>
    <row r="247" spans="10:16" x14ac:dyDescent="0.35">
      <c r="J247">
        <v>6</v>
      </c>
      <c r="K247">
        <v>32.4161728552059</v>
      </c>
      <c r="L247">
        <v>1.5838271447940997</v>
      </c>
      <c r="M247">
        <v>5.995644399696675E-2</v>
      </c>
      <c r="O247">
        <v>42.307692307692307</v>
      </c>
      <c r="P247">
        <v>23</v>
      </c>
    </row>
    <row r="248" spans="10:16" x14ac:dyDescent="0.35">
      <c r="J248">
        <v>7</v>
      </c>
      <c r="K248">
        <v>38.959626961288755</v>
      </c>
      <c r="L248">
        <v>-15.959626961288755</v>
      </c>
      <c r="M248">
        <v>-0.60415840406712207</v>
      </c>
      <c r="O248">
        <v>50</v>
      </c>
      <c r="P248">
        <v>30</v>
      </c>
    </row>
    <row r="249" spans="10:16" x14ac:dyDescent="0.35">
      <c r="J249">
        <v>8</v>
      </c>
      <c r="K249">
        <v>47.46950768992501</v>
      </c>
      <c r="L249">
        <v>-35.46950768992501</v>
      </c>
      <c r="M249">
        <v>-1.3427131605876317</v>
      </c>
      <c r="O249">
        <v>57.692307692307693</v>
      </c>
      <c r="P249">
        <v>34</v>
      </c>
    </row>
    <row r="250" spans="10:16" x14ac:dyDescent="0.35">
      <c r="J250">
        <v>9</v>
      </c>
      <c r="K250">
        <v>39.942840272565455</v>
      </c>
      <c r="L250">
        <v>-9.942840272565455</v>
      </c>
      <c r="M250">
        <v>-0.37639040846869387</v>
      </c>
      <c r="O250">
        <v>65.384615384615387</v>
      </c>
      <c r="P250">
        <v>43</v>
      </c>
    </row>
    <row r="251" spans="10:16" x14ac:dyDescent="0.35">
      <c r="J251">
        <v>10</v>
      </c>
      <c r="K251">
        <v>37.671278484443427</v>
      </c>
      <c r="L251">
        <v>46.328721515556573</v>
      </c>
      <c r="M251">
        <v>1.7537932760709456</v>
      </c>
      <c r="O251">
        <v>73.076923076923066</v>
      </c>
      <c r="P251">
        <v>56</v>
      </c>
    </row>
    <row r="252" spans="10:16" x14ac:dyDescent="0.35">
      <c r="J252">
        <v>11</v>
      </c>
      <c r="K252">
        <v>37.433951133445603</v>
      </c>
      <c r="L252">
        <v>-25.433951133445603</v>
      </c>
      <c r="M252">
        <v>-0.96281293812038038</v>
      </c>
      <c r="O252">
        <v>80.769230769230759</v>
      </c>
      <c r="P252">
        <v>67</v>
      </c>
    </row>
    <row r="253" spans="10:16" x14ac:dyDescent="0.35">
      <c r="J253">
        <v>12</v>
      </c>
      <c r="K253">
        <v>39.535993385140614</v>
      </c>
      <c r="L253">
        <v>-17.535993385140614</v>
      </c>
      <c r="M253">
        <v>-0.66383241932884407</v>
      </c>
      <c r="O253">
        <v>88.461538461538453</v>
      </c>
      <c r="P253">
        <v>84</v>
      </c>
    </row>
    <row r="254" spans="10:16" ht="15" thickBot="1" x14ac:dyDescent="0.4">
      <c r="J254" s="1">
        <v>13</v>
      </c>
      <c r="K254" s="1">
        <v>34.3825994777593</v>
      </c>
      <c r="L254" s="1">
        <v>-24.3825994777593</v>
      </c>
      <c r="M254" s="1">
        <v>-0.92301357815078666</v>
      </c>
      <c r="O254" s="1">
        <v>96.153846153846146</v>
      </c>
      <c r="P254" s="1">
        <v>87</v>
      </c>
    </row>
    <row r="261" spans="1:7" x14ac:dyDescent="0.35">
      <c r="A261" s="4" t="s">
        <v>71</v>
      </c>
    </row>
    <row r="264" spans="1:7" x14ac:dyDescent="0.35">
      <c r="A264" s="5" t="s">
        <v>74</v>
      </c>
      <c r="B264" s="5" t="s">
        <v>75</v>
      </c>
      <c r="C264" s="5"/>
      <c r="D264" s="5"/>
      <c r="E264" s="5"/>
      <c r="F264" s="4"/>
      <c r="G264" s="4"/>
    </row>
    <row r="265" spans="1:7" x14ac:dyDescent="0.35">
      <c r="A265" s="5" t="s">
        <v>0</v>
      </c>
      <c r="B265" s="5" t="s">
        <v>1</v>
      </c>
      <c r="C265" s="5" t="s">
        <v>2</v>
      </c>
      <c r="D265" s="5" t="s">
        <v>3</v>
      </c>
      <c r="E265" s="5" t="s">
        <v>4</v>
      </c>
      <c r="F265" s="4"/>
      <c r="G265" s="4"/>
    </row>
    <row r="266" spans="1:7" x14ac:dyDescent="0.35">
      <c r="A266" s="5">
        <v>243</v>
      </c>
      <c r="B266" s="5">
        <v>18</v>
      </c>
      <c r="C266" s="5">
        <f>A266*A266</f>
        <v>59049</v>
      </c>
      <c r="D266" s="5">
        <f>A266*B266</f>
        <v>4374</v>
      </c>
      <c r="E266" s="5">
        <f>B266*B266</f>
        <v>324</v>
      </c>
      <c r="F266" s="4"/>
      <c r="G266" s="4"/>
    </row>
    <row r="267" spans="1:7" x14ac:dyDescent="0.35">
      <c r="A267" s="5">
        <v>100.2</v>
      </c>
      <c r="B267" s="5">
        <v>21</v>
      </c>
      <c r="C267" s="5">
        <f>A267*A267</f>
        <v>10040.040000000001</v>
      </c>
      <c r="D267" s="5">
        <f>A267*B267</f>
        <v>2104.2000000000003</v>
      </c>
      <c r="E267" s="5">
        <f>B267*B267</f>
        <v>441</v>
      </c>
      <c r="F267" s="4"/>
      <c r="G267" s="4"/>
    </row>
    <row r="268" spans="1:7" x14ac:dyDescent="0.35">
      <c r="A268" s="5">
        <v>7800.8</v>
      </c>
      <c r="B268" s="5">
        <v>23</v>
      </c>
      <c r="C268" s="5">
        <f>A268*A268</f>
        <v>60852480.640000001</v>
      </c>
      <c r="D268" s="5">
        <f t="shared" ref="D268:D279" si="11">A268*B268</f>
        <v>179418.4</v>
      </c>
      <c r="E268" s="5">
        <f t="shared" ref="E268:E279" si="12">B268*B268</f>
        <v>529</v>
      </c>
      <c r="F268" s="4"/>
      <c r="G268" s="4"/>
    </row>
    <row r="269" spans="1:7" x14ac:dyDescent="0.35">
      <c r="A269" s="5">
        <v>191</v>
      </c>
      <c r="B269" s="5">
        <v>12</v>
      </c>
      <c r="C269" s="5">
        <f t="shared" ref="C269:C277" si="13">A269*A269</f>
        <v>36481</v>
      </c>
      <c r="D269" s="5">
        <f t="shared" si="11"/>
        <v>2292</v>
      </c>
      <c r="E269" s="5">
        <f t="shared" si="12"/>
        <v>144</v>
      </c>
      <c r="F269" s="4"/>
      <c r="G269" s="4"/>
    </row>
    <row r="270" spans="1:7" x14ac:dyDescent="0.35">
      <c r="A270" s="5">
        <v>156</v>
      </c>
      <c r="B270" s="5">
        <v>14</v>
      </c>
      <c r="C270" s="5">
        <f t="shared" si="13"/>
        <v>24336</v>
      </c>
      <c r="D270" s="5">
        <f t="shared" si="11"/>
        <v>2184</v>
      </c>
      <c r="E270" s="5">
        <f t="shared" si="12"/>
        <v>196</v>
      </c>
      <c r="F270" s="4"/>
      <c r="G270" s="4"/>
    </row>
    <row r="271" spans="1:7" x14ac:dyDescent="0.35">
      <c r="A271" s="5">
        <v>162</v>
      </c>
      <c r="B271" s="5">
        <v>16</v>
      </c>
      <c r="C271" s="5">
        <f t="shared" si="13"/>
        <v>26244</v>
      </c>
      <c r="D271" s="5">
        <f t="shared" si="11"/>
        <v>2592</v>
      </c>
      <c r="E271" s="5">
        <f t="shared" si="12"/>
        <v>256</v>
      </c>
      <c r="F271" s="4"/>
      <c r="G271" s="4"/>
    </row>
    <row r="272" spans="1:7" x14ac:dyDescent="0.35">
      <c r="A272" s="5">
        <v>120</v>
      </c>
      <c r="B272" s="5">
        <v>19</v>
      </c>
      <c r="C272" s="5">
        <f t="shared" si="13"/>
        <v>14400</v>
      </c>
      <c r="D272" s="5">
        <f t="shared" si="11"/>
        <v>2280</v>
      </c>
      <c r="E272" s="5">
        <f t="shared" si="12"/>
        <v>361</v>
      </c>
      <c r="F272" s="4"/>
      <c r="G272" s="4"/>
    </row>
    <row r="273" spans="1:7" x14ac:dyDescent="0.35">
      <c r="A273" s="5">
        <v>679</v>
      </c>
      <c r="B273" s="5">
        <v>11</v>
      </c>
      <c r="C273" s="5">
        <f t="shared" si="13"/>
        <v>461041</v>
      </c>
      <c r="D273" s="5">
        <f t="shared" si="11"/>
        <v>7469</v>
      </c>
      <c r="E273" s="5">
        <v>0.9</v>
      </c>
      <c r="F273" s="4"/>
      <c r="G273" s="4"/>
    </row>
    <row r="274" spans="1:7" x14ac:dyDescent="0.35">
      <c r="A274" s="5">
        <v>200</v>
      </c>
      <c r="B274" s="5">
        <v>10</v>
      </c>
      <c r="C274" s="5">
        <f t="shared" si="13"/>
        <v>40000</v>
      </c>
      <c r="D274" s="5">
        <f t="shared" si="11"/>
        <v>2000</v>
      </c>
      <c r="E274" s="5">
        <f t="shared" si="12"/>
        <v>100</v>
      </c>
      <c r="F274" s="4"/>
      <c r="G274" s="4"/>
    </row>
    <row r="275" spans="1:7" x14ac:dyDescent="0.35">
      <c r="A275" s="5">
        <v>156</v>
      </c>
      <c r="B275" s="5">
        <v>30</v>
      </c>
      <c r="C275" s="5">
        <f t="shared" si="13"/>
        <v>24336</v>
      </c>
      <c r="D275" s="5">
        <f t="shared" si="11"/>
        <v>4680</v>
      </c>
      <c r="E275" s="5">
        <f t="shared" si="12"/>
        <v>900</v>
      </c>
      <c r="F275" s="4"/>
      <c r="G275" s="4"/>
    </row>
    <row r="276" spans="1:7" x14ac:dyDescent="0.35">
      <c r="A276" s="5">
        <v>121</v>
      </c>
      <c r="B276" s="5">
        <v>8</v>
      </c>
      <c r="C276" s="5">
        <f t="shared" si="13"/>
        <v>14641</v>
      </c>
      <c r="D276" s="5">
        <f t="shared" si="11"/>
        <v>968</v>
      </c>
      <c r="E276" s="5">
        <f t="shared" si="12"/>
        <v>64</v>
      </c>
      <c r="F276" s="4"/>
      <c r="G276" s="4"/>
    </row>
    <row r="277" spans="1:7" x14ac:dyDescent="0.35">
      <c r="A277" s="5">
        <v>108</v>
      </c>
      <c r="B277" s="5">
        <v>21</v>
      </c>
      <c r="C277" s="5">
        <f t="shared" si="13"/>
        <v>11664</v>
      </c>
      <c r="D277" s="5">
        <f t="shared" si="11"/>
        <v>2268</v>
      </c>
      <c r="E277" s="5">
        <f t="shared" si="12"/>
        <v>441</v>
      </c>
      <c r="F277" s="4"/>
      <c r="G277" s="4"/>
    </row>
    <row r="278" spans="1:7" x14ac:dyDescent="0.35">
      <c r="A278" s="5">
        <v>132</v>
      </c>
      <c r="B278" s="5">
        <v>32</v>
      </c>
      <c r="C278" s="5">
        <f>A278*A278</f>
        <v>17424</v>
      </c>
      <c r="D278" s="5">
        <f t="shared" si="11"/>
        <v>4224</v>
      </c>
      <c r="E278" s="5">
        <f t="shared" si="12"/>
        <v>1024</v>
      </c>
      <c r="F278" s="4"/>
      <c r="G278" s="4"/>
    </row>
    <row r="279" spans="1:7" x14ac:dyDescent="0.35">
      <c r="A279" s="5">
        <v>112</v>
      </c>
      <c r="B279" s="5">
        <v>6</v>
      </c>
      <c r="C279" s="5">
        <f t="shared" ref="C279" si="14">A279*A279</f>
        <v>12544</v>
      </c>
      <c r="D279" s="5">
        <f t="shared" si="11"/>
        <v>672</v>
      </c>
      <c r="E279" s="5">
        <f t="shared" si="12"/>
        <v>36</v>
      </c>
      <c r="F279" s="4"/>
      <c r="G279" s="4"/>
    </row>
    <row r="280" spans="1:7" x14ac:dyDescent="0.35">
      <c r="A280" s="4"/>
      <c r="B280" s="4"/>
      <c r="C280" s="4"/>
      <c r="D280" s="4"/>
      <c r="E280" s="4"/>
      <c r="F280" s="4"/>
      <c r="G280" s="4"/>
    </row>
    <row r="281" spans="1:7" x14ac:dyDescent="0.35">
      <c r="A281" s="4" t="s">
        <v>5</v>
      </c>
      <c r="B281" s="4">
        <v>14</v>
      </c>
      <c r="C281" s="4"/>
      <c r="D281" s="4"/>
      <c r="E281" s="4"/>
      <c r="F281" s="4"/>
      <c r="G281" s="4"/>
    </row>
    <row r="282" spans="1:7" x14ac:dyDescent="0.35">
      <c r="A282" s="4"/>
      <c r="B282" s="4"/>
      <c r="C282" s="4"/>
      <c r="D282" s="4"/>
      <c r="E282" s="4"/>
      <c r="F282" s="4"/>
      <c r="G282" s="4"/>
    </row>
    <row r="283" spans="1:7" x14ac:dyDescent="0.35">
      <c r="A283" s="6" t="s">
        <v>53</v>
      </c>
      <c r="B283" s="4">
        <f>SUM(A266:A279)</f>
        <v>10281</v>
      </c>
      <c r="C283" s="4"/>
      <c r="D283" s="5" t="s">
        <v>8</v>
      </c>
      <c r="E283" s="4">
        <f>B285-B287/B281</f>
        <v>54054754.894285716</v>
      </c>
      <c r="F283" s="4"/>
      <c r="G283" s="4"/>
    </row>
    <row r="284" spans="1:7" x14ac:dyDescent="0.35">
      <c r="A284" s="6" t="s">
        <v>54</v>
      </c>
      <c r="B284" s="4">
        <f>SUM(B266:B279)</f>
        <v>241</v>
      </c>
      <c r="C284" s="4"/>
      <c r="D284" s="5" t="s">
        <v>9</v>
      </c>
      <c r="E284" s="4">
        <f>B286-(B283*B284)/B281</f>
        <v>40545.528571428586</v>
      </c>
      <c r="F284" s="4"/>
      <c r="G284" s="4"/>
    </row>
    <row r="285" spans="1:7" x14ac:dyDescent="0.35">
      <c r="A285" s="6" t="s">
        <v>52</v>
      </c>
      <c r="B285" s="4">
        <f>SUM(C266:C279)</f>
        <v>61604680.68</v>
      </c>
      <c r="C285" s="4"/>
      <c r="D285" s="7" t="s">
        <v>58</v>
      </c>
      <c r="E285" s="4">
        <f>E284/E283</f>
        <v>7.5008255334286546E-4</v>
      </c>
      <c r="F285" s="4"/>
      <c r="G285" s="4"/>
    </row>
    <row r="286" spans="1:7" x14ac:dyDescent="0.35">
      <c r="A286" s="5" t="s">
        <v>55</v>
      </c>
      <c r="B286" s="4">
        <f>SUM(D266:D279)</f>
        <v>217525.6</v>
      </c>
      <c r="C286" s="4"/>
      <c r="D286" s="7" t="s">
        <v>59</v>
      </c>
      <c r="E286" s="4">
        <f>B289-E285*B288</f>
        <v>16.663457233505859</v>
      </c>
      <c r="F286" s="4"/>
      <c r="G286" s="4"/>
    </row>
    <row r="287" spans="1:7" x14ac:dyDescent="0.35">
      <c r="A287" s="5" t="s">
        <v>56</v>
      </c>
      <c r="B287" s="4">
        <f>B283*B283</f>
        <v>105698961</v>
      </c>
      <c r="C287" s="4"/>
      <c r="D287" s="4"/>
      <c r="E287" s="4"/>
      <c r="F287" s="4"/>
      <c r="G287" s="4"/>
    </row>
    <row r="288" spans="1:7" x14ac:dyDescent="0.35">
      <c r="A288" s="6" t="s">
        <v>6</v>
      </c>
      <c r="B288" s="4">
        <f>B283/B281</f>
        <v>734.35714285714289</v>
      </c>
      <c r="C288" s="4"/>
      <c r="D288" s="5" t="s">
        <v>50</v>
      </c>
      <c r="E288" s="4"/>
      <c r="F288" s="4"/>
      <c r="G288" s="4"/>
    </row>
    <row r="289" spans="1:12" x14ac:dyDescent="0.35">
      <c r="A289" s="6" t="s">
        <v>7</v>
      </c>
      <c r="B289" s="4">
        <f>B284/B281</f>
        <v>17.214285714285715</v>
      </c>
      <c r="C289" s="4"/>
      <c r="D289" s="5" t="s">
        <v>61</v>
      </c>
      <c r="E289" s="4" t="s">
        <v>73</v>
      </c>
      <c r="F289" s="4"/>
      <c r="G289" s="4"/>
    </row>
    <row r="290" spans="1:12" x14ac:dyDescent="0.35">
      <c r="A290" s="6" t="s">
        <v>57</v>
      </c>
      <c r="B290" s="4">
        <f>SUM(E266:E279)</f>
        <v>4816.8999999999996</v>
      </c>
      <c r="C290" s="4"/>
      <c r="D290" s="4"/>
      <c r="E290" s="4"/>
      <c r="F290" s="4"/>
      <c r="G290" s="4"/>
    </row>
    <row r="299" spans="1:12" x14ac:dyDescent="0.35">
      <c r="K299" t="s">
        <v>10</v>
      </c>
    </row>
    <row r="300" spans="1:12" ht="15" thickBot="1" x14ac:dyDescent="0.4"/>
    <row r="301" spans="1:12" x14ac:dyDescent="0.35">
      <c r="K301" s="3" t="s">
        <v>11</v>
      </c>
      <c r="L301" s="3"/>
    </row>
    <row r="302" spans="1:12" x14ac:dyDescent="0.35">
      <c r="K302" t="s">
        <v>12</v>
      </c>
      <c r="L302">
        <v>0.19898731659582783</v>
      </c>
    </row>
    <row r="303" spans="1:12" x14ac:dyDescent="0.35">
      <c r="K303" t="s">
        <v>13</v>
      </c>
      <c r="L303">
        <v>3.9595952166008218E-2</v>
      </c>
    </row>
    <row r="304" spans="1:12" x14ac:dyDescent="0.35">
      <c r="K304" t="s">
        <v>14</v>
      </c>
      <c r="L304">
        <v>-4.7713506727991038E-2</v>
      </c>
    </row>
    <row r="305" spans="11:19" x14ac:dyDescent="0.35">
      <c r="K305" t="s">
        <v>15</v>
      </c>
      <c r="L305">
        <v>8.2929481585007494</v>
      </c>
    </row>
    <row r="306" spans="11:19" ht="15" thickBot="1" x14ac:dyDescent="0.4">
      <c r="K306" s="1" t="s">
        <v>16</v>
      </c>
      <c r="L306" s="1">
        <v>13</v>
      </c>
    </row>
    <row r="308" spans="11:19" ht="15" thickBot="1" x14ac:dyDescent="0.4">
      <c r="K308" t="s">
        <v>17</v>
      </c>
    </row>
    <row r="309" spans="11:19" x14ac:dyDescent="0.35">
      <c r="K309" s="2"/>
      <c r="L309" s="2" t="s">
        <v>22</v>
      </c>
      <c r="M309" s="2" t="s">
        <v>23</v>
      </c>
      <c r="N309" s="2" t="s">
        <v>24</v>
      </c>
      <c r="O309" s="2" t="s">
        <v>25</v>
      </c>
      <c r="P309" s="2" t="s">
        <v>26</v>
      </c>
    </row>
    <row r="310" spans="11:19" x14ac:dyDescent="0.35">
      <c r="K310" t="s">
        <v>18</v>
      </c>
      <c r="L310">
        <v>1</v>
      </c>
      <c r="M310">
        <v>31.189426936917243</v>
      </c>
      <c r="N310">
        <v>31.189426936917243</v>
      </c>
      <c r="O310">
        <v>0.45351274269241437</v>
      </c>
      <c r="P310">
        <v>0.51457195278666801</v>
      </c>
    </row>
    <row r="311" spans="11:19" x14ac:dyDescent="0.35">
      <c r="K311" t="s">
        <v>19</v>
      </c>
      <c r="L311">
        <v>11</v>
      </c>
      <c r="M311">
        <v>756.50288075539049</v>
      </c>
      <c r="N311">
        <v>68.772989159580959</v>
      </c>
    </row>
    <row r="312" spans="11:19" ht="15" thickBot="1" x14ac:dyDescent="0.4">
      <c r="K312" s="1" t="s">
        <v>20</v>
      </c>
      <c r="L312" s="1">
        <v>12</v>
      </c>
      <c r="M312" s="1">
        <v>787.69230769230774</v>
      </c>
      <c r="N312" s="1"/>
      <c r="O312" s="1"/>
      <c r="P312" s="1"/>
    </row>
    <row r="313" spans="11:19" ht="15" thickBot="1" x14ac:dyDescent="0.4"/>
    <row r="314" spans="11:19" x14ac:dyDescent="0.35">
      <c r="K314" s="2"/>
      <c r="L314" s="2" t="s">
        <v>27</v>
      </c>
      <c r="M314" s="2" t="s">
        <v>15</v>
      </c>
      <c r="N314" s="2" t="s">
        <v>28</v>
      </c>
      <c r="O314" s="2" t="s">
        <v>29</v>
      </c>
      <c r="P314" s="2" t="s">
        <v>30</v>
      </c>
      <c r="Q314" s="2" t="s">
        <v>31</v>
      </c>
      <c r="R314" s="2" t="s">
        <v>32</v>
      </c>
      <c r="S314" s="2" t="s">
        <v>33</v>
      </c>
    </row>
    <row r="315" spans="11:19" x14ac:dyDescent="0.35">
      <c r="K315" t="s">
        <v>21</v>
      </c>
      <c r="L315">
        <v>16.565899958502303</v>
      </c>
      <c r="M315">
        <v>2.4601746477777691</v>
      </c>
      <c r="N315">
        <v>6.7336276200821672</v>
      </c>
      <c r="O315">
        <v>3.227299334853186E-5</v>
      </c>
      <c r="P315">
        <v>11.15109206750976</v>
      </c>
      <c r="Q315">
        <v>21.980707849494848</v>
      </c>
      <c r="R315">
        <v>11.15109206750976</v>
      </c>
      <c r="S315">
        <v>21.980707849494848</v>
      </c>
    </row>
    <row r="316" spans="11:19" ht="15" thickBot="1" x14ac:dyDescent="0.4">
      <c r="K316" s="1">
        <v>243</v>
      </c>
      <c r="L316" s="1">
        <v>7.6143659488643459E-4</v>
      </c>
      <c r="M316" s="1">
        <v>1.1306781461750497E-3</v>
      </c>
      <c r="N316" s="1">
        <v>0.67343354734703631</v>
      </c>
      <c r="O316" s="1">
        <v>0.51457195278666867</v>
      </c>
      <c r="P316" s="1">
        <v>-1.727169225684774E-3</v>
      </c>
      <c r="Q316" s="1">
        <v>3.2500424154576434E-3</v>
      </c>
      <c r="R316" s="1">
        <v>-1.727169225684774E-3</v>
      </c>
      <c r="S316" s="1">
        <v>3.2500424154576434E-3</v>
      </c>
    </row>
    <row r="320" spans="11:19" x14ac:dyDescent="0.35">
      <c r="K320" t="s">
        <v>34</v>
      </c>
      <c r="P320" t="s">
        <v>39</v>
      </c>
    </row>
    <row r="321" spans="11:17" ht="15" thickBot="1" x14ac:dyDescent="0.4"/>
    <row r="322" spans="11:17" x14ac:dyDescent="0.35">
      <c r="K322" s="2" t="s">
        <v>35</v>
      </c>
      <c r="L322" s="2" t="s">
        <v>76</v>
      </c>
      <c r="M322" s="2" t="s">
        <v>37</v>
      </c>
      <c r="N322" s="2" t="s">
        <v>38</v>
      </c>
      <c r="P322" s="2" t="s">
        <v>40</v>
      </c>
      <c r="Q322" s="2">
        <v>18</v>
      </c>
    </row>
    <row r="323" spans="11:17" x14ac:dyDescent="0.35">
      <c r="K323">
        <v>1</v>
      </c>
      <c r="L323">
        <v>16.642195905309926</v>
      </c>
      <c r="M323">
        <v>4.3578040946900742</v>
      </c>
      <c r="N323">
        <v>0.54884919627058215</v>
      </c>
      <c r="P323">
        <v>3.8461538461538463</v>
      </c>
      <c r="Q323">
        <v>6</v>
      </c>
    </row>
    <row r="324" spans="11:17" x14ac:dyDescent="0.35">
      <c r="K324">
        <v>2</v>
      </c>
      <c r="L324">
        <v>22.505714547892403</v>
      </c>
      <c r="M324">
        <v>0.49428545210759722</v>
      </c>
      <c r="N324">
        <v>6.2253411861275976E-2</v>
      </c>
      <c r="P324">
        <v>11.538461538461538</v>
      </c>
      <c r="Q324">
        <v>8</v>
      </c>
    </row>
    <row r="325" spans="11:17" x14ac:dyDescent="0.35">
      <c r="K325">
        <v>3</v>
      </c>
      <c r="L325">
        <v>16.711334348125611</v>
      </c>
      <c r="M325">
        <v>-4.7113343481256109</v>
      </c>
      <c r="N325">
        <v>-0.59337501506355139</v>
      </c>
      <c r="P325">
        <v>19.23076923076923</v>
      </c>
      <c r="Q325">
        <v>10</v>
      </c>
    </row>
    <row r="326" spans="11:17" x14ac:dyDescent="0.35">
      <c r="K326">
        <v>4</v>
      </c>
      <c r="L326">
        <v>16.684684067304588</v>
      </c>
      <c r="M326">
        <v>-2.6846840673045875</v>
      </c>
      <c r="N326">
        <v>-0.33812595990168171</v>
      </c>
      <c r="P326">
        <v>26.923076923076923</v>
      </c>
      <c r="Q326">
        <v>11</v>
      </c>
    </row>
    <row r="327" spans="11:17" x14ac:dyDescent="0.35">
      <c r="K327">
        <v>5</v>
      </c>
      <c r="L327">
        <v>16.689252686873907</v>
      </c>
      <c r="M327">
        <v>-0.68925268687390684</v>
      </c>
      <c r="N327">
        <v>-8.6808808977675553E-2</v>
      </c>
      <c r="P327">
        <v>34.615384615384613</v>
      </c>
      <c r="Q327">
        <v>12</v>
      </c>
    </row>
    <row r="328" spans="11:17" x14ac:dyDescent="0.35">
      <c r="K328">
        <v>6</v>
      </c>
      <c r="L328">
        <v>16.657272349888675</v>
      </c>
      <c r="M328">
        <v>2.3427276501113248</v>
      </c>
      <c r="N328">
        <v>0.29505782267982295</v>
      </c>
      <c r="P328">
        <v>42.307692307692307</v>
      </c>
      <c r="Q328">
        <v>14</v>
      </c>
    </row>
    <row r="329" spans="11:17" x14ac:dyDescent="0.35">
      <c r="K329">
        <v>7</v>
      </c>
      <c r="L329">
        <v>17.082915406430192</v>
      </c>
      <c r="M329">
        <v>-6.0829154064301925</v>
      </c>
      <c r="N329">
        <v>-0.76612054127655627</v>
      </c>
      <c r="P329">
        <v>50</v>
      </c>
      <c r="Q329">
        <v>16</v>
      </c>
    </row>
    <row r="330" spans="11:17" x14ac:dyDescent="0.35">
      <c r="K330">
        <v>8</v>
      </c>
      <c r="L330">
        <v>16.71818727747959</v>
      </c>
      <c r="M330">
        <v>-6.7181872774795899</v>
      </c>
      <c r="N330">
        <v>-0.84613066753799571</v>
      </c>
      <c r="P330">
        <v>57.692307692307693</v>
      </c>
      <c r="Q330">
        <v>19</v>
      </c>
    </row>
    <row r="331" spans="11:17" x14ac:dyDescent="0.35">
      <c r="K331">
        <v>9</v>
      </c>
      <c r="L331">
        <v>16.684684067304588</v>
      </c>
      <c r="M331">
        <v>13.315315932695412</v>
      </c>
      <c r="N331">
        <v>1.6770144524517696</v>
      </c>
      <c r="P331">
        <v>65.384615384615387</v>
      </c>
      <c r="Q331">
        <v>21</v>
      </c>
    </row>
    <row r="332" spans="11:17" x14ac:dyDescent="0.35">
      <c r="K332">
        <v>10</v>
      </c>
      <c r="L332">
        <v>16.658033786483561</v>
      </c>
      <c r="M332">
        <v>-8.6580337864835606</v>
      </c>
      <c r="N332">
        <v>-1.0904471109165372</v>
      </c>
      <c r="P332">
        <v>73.076923076923066</v>
      </c>
      <c r="Q332">
        <v>21</v>
      </c>
    </row>
    <row r="333" spans="11:17" x14ac:dyDescent="0.35">
      <c r="K333">
        <v>11</v>
      </c>
      <c r="L333">
        <v>16.648135110750037</v>
      </c>
      <c r="M333">
        <v>4.3518648892499634</v>
      </c>
      <c r="N333">
        <v>0.54810117546435488</v>
      </c>
      <c r="P333">
        <v>80.769230769230759</v>
      </c>
      <c r="Q333">
        <v>23</v>
      </c>
    </row>
    <row r="334" spans="11:17" x14ac:dyDescent="0.35">
      <c r="K334">
        <v>12</v>
      </c>
      <c r="L334">
        <v>16.666409589027314</v>
      </c>
      <c r="M334">
        <v>15.333590410972686</v>
      </c>
      <c r="N334">
        <v>1.9312086064766516</v>
      </c>
      <c r="P334">
        <v>88.461538461538453</v>
      </c>
      <c r="Q334">
        <v>30</v>
      </c>
    </row>
    <row r="335" spans="11:17" ht="15" thickBot="1" x14ac:dyDescent="0.4">
      <c r="K335" s="1">
        <v>13</v>
      </c>
      <c r="L335" s="1">
        <v>16.651180857129585</v>
      </c>
      <c r="M335" s="1">
        <v>-10.651180857129585</v>
      </c>
      <c r="N335" s="1">
        <v>-1.3414765615304562</v>
      </c>
      <c r="P335" s="1">
        <v>96.153846153846146</v>
      </c>
      <c r="Q335" s="1">
        <v>32</v>
      </c>
    </row>
  </sheetData>
  <sortState xmlns:xlrd2="http://schemas.microsoft.com/office/spreadsheetml/2017/richdata2" ref="Q323:Q335">
    <sortCondition ref="Q3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Ibrahim Khan</cp:lastModifiedBy>
  <dcterms:created xsi:type="dcterms:W3CDTF">2025-11-12T05:41:06Z</dcterms:created>
  <dcterms:modified xsi:type="dcterms:W3CDTF">2025-11-17T17:12:56Z</dcterms:modified>
</cp:coreProperties>
</file>