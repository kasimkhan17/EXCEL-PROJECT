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2CF8C32B-85A8-416C-B929-19107658F4D4}" xr6:coauthVersionLast="47" xr6:coauthVersionMax="47" xr10:uidLastSave="{00000000-0000-0000-0000-000000000000}"/>
  <bookViews>
    <workbookView xWindow="-110" yWindow="-110" windowWidth="19420" windowHeight="10420" xr2:uid="{DCA9558B-A398-41AC-9887-9585A54DA64D}"/>
  </bookViews>
  <sheets>
    <sheet name="NORMAL DISTRIBUTION PR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9" i="1" l="1"/>
  <c r="E38" i="1"/>
  <c r="E37" i="1"/>
  <c r="E9" i="1" a="1"/>
  <c r="E9" i="1" s="1"/>
  <c r="E8" i="1"/>
  <c r="E7" i="1"/>
  <c r="E10" i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I12" i="1" l="1"/>
  <c r="J12" i="1" s="1" a="1"/>
  <c r="J12" i="1" s="1"/>
  <c r="H26" i="1"/>
  <c r="H22" i="1"/>
  <c r="I27" i="1"/>
  <c r="I11" i="1"/>
  <c r="J11" i="1" s="1" a="1"/>
  <c r="J11" i="1" s="1"/>
  <c r="I15" i="1"/>
  <c r="J15" i="1" s="1" a="1"/>
  <c r="J15" i="1" s="1"/>
  <c r="H18" i="1"/>
  <c r="I23" i="1"/>
  <c r="H10" i="1"/>
  <c r="H14" i="1"/>
  <c r="I19" i="1"/>
  <c r="H8" i="1"/>
  <c r="H25" i="1"/>
  <c r="H21" i="1"/>
  <c r="H17" i="1"/>
  <c r="H13" i="1"/>
  <c r="H9" i="1"/>
  <c r="I26" i="1"/>
  <c r="I22" i="1"/>
  <c r="I18" i="1"/>
  <c r="J18" i="1" s="1" a="1"/>
  <c r="J18" i="1" s="1"/>
  <c r="I14" i="1"/>
  <c r="J14" i="1" s="1" a="1"/>
  <c r="J14" i="1" s="1"/>
  <c r="I10" i="1"/>
  <c r="J10" i="1" s="1" a="1"/>
  <c r="J10" i="1" s="1"/>
  <c r="H28" i="1"/>
  <c r="H24" i="1"/>
  <c r="H20" i="1"/>
  <c r="H16" i="1"/>
  <c r="H12" i="1"/>
  <c r="I8" i="1"/>
  <c r="J8" i="1" s="1" a="1"/>
  <c r="J8" i="1" s="1"/>
  <c r="I25" i="1"/>
  <c r="I21" i="1"/>
  <c r="I17" i="1"/>
  <c r="J17" i="1" s="1" a="1"/>
  <c r="J17" i="1" s="1"/>
  <c r="I13" i="1"/>
  <c r="J13" i="1" s="1" a="1"/>
  <c r="J13" i="1" s="1"/>
  <c r="I9" i="1"/>
  <c r="J9" i="1" s="1" a="1"/>
  <c r="J9" i="1" s="1"/>
  <c r="H27" i="1"/>
  <c r="H23" i="1"/>
  <c r="H19" i="1"/>
  <c r="H15" i="1"/>
  <c r="H11" i="1"/>
  <c r="I28" i="1"/>
  <c r="I24" i="1"/>
  <c r="I20" i="1"/>
  <c r="I16" i="1"/>
  <c r="J16" i="1" s="1" a="1"/>
  <c r="J16" i="1" s="1"/>
</calcChain>
</file>

<file path=xl/sharedStrings.xml><?xml version="1.0" encoding="utf-8"?>
<sst xmlns="http://schemas.openxmlformats.org/spreadsheetml/2006/main" count="21" uniqueCount="15">
  <si>
    <t>EXAMPLE-1</t>
  </si>
  <si>
    <t>MARKS</t>
  </si>
  <si>
    <t>MEAN</t>
  </si>
  <si>
    <t>STANDARD DEVIATION</t>
  </si>
  <si>
    <t>MIN</t>
  </si>
  <si>
    <t>MAX</t>
  </si>
  <si>
    <t>GRADE</t>
  </si>
  <si>
    <t xml:space="preserve">CUMMULATIVE DENSITY </t>
  </si>
  <si>
    <t xml:space="preserve">PROBABILITY DENSITY FUNCTION </t>
  </si>
  <si>
    <t>CUMMULATIVE DENSITY FUNCTION</t>
  </si>
  <si>
    <t xml:space="preserve">FITTING OF A NORMAL DISTRIBUTION </t>
  </si>
  <si>
    <t xml:space="preserve">EXAMPLE -2 </t>
  </si>
  <si>
    <t>SALES</t>
  </si>
  <si>
    <t xml:space="preserve">STANDARD  DEVIATION </t>
  </si>
  <si>
    <t xml:space="preserve">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</si>
</sst>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 DISTRIBUTION PR-3'!$H$7</c:f>
              <c:strCache>
                <c:ptCount val="1"/>
                <c:pt idx="0">
                  <c:v>PROBABILITY DENSITY FUNCTION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'NORMAL DISTRIBUTION PR-3'!$G$8:$G$28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'NORMAL DISTRIBUTION PR-3'!$H$8:$H$28</c:f>
              <c:numCache>
                <c:formatCode>0.000</c:formatCode>
                <c:ptCount val="21"/>
                <c:pt idx="0">
                  <c:v>1.8958737537632232E-3</c:v>
                </c:pt>
                <c:pt idx="1">
                  <c:v>3.5335299283135967E-3</c:v>
                </c:pt>
                <c:pt idx="2">
                  <c:v>6.1699349013988099E-3</c:v>
                </c:pt>
                <c:pt idx="3">
                  <c:v>1.0093106077214488E-2</c:v>
                </c:pt>
                <c:pt idx="4">
                  <c:v>1.5468262783159081E-2</c:v>
                </c:pt>
                <c:pt idx="5">
                  <c:v>2.2209086385300676E-2</c:v>
                </c:pt>
                <c:pt idx="6">
                  <c:v>2.987392547447798E-2</c:v>
                </c:pt>
                <c:pt idx="7">
                  <c:v>3.7646650410724777E-2</c:v>
                </c:pt>
                <c:pt idx="8">
                  <c:v>4.4446015879033046E-2</c:v>
                </c:pt>
                <c:pt idx="9">
                  <c:v>4.9159989454186405E-2</c:v>
                </c:pt>
                <c:pt idx="10">
                  <c:v>5.0940496437178566E-2</c:v>
                </c:pt>
                <c:pt idx="11">
                  <c:v>4.9452358965552397E-2</c:v>
                </c:pt>
                <c:pt idx="12">
                  <c:v>4.4976256088619049E-2</c:v>
                </c:pt>
                <c:pt idx="13">
                  <c:v>3.8322341542245161E-2</c:v>
                </c:pt>
                <c:pt idx="14">
                  <c:v>3.059096810611724E-2</c:v>
                </c:pt>
                <c:pt idx="15">
                  <c:v>2.2877409885976793E-2</c:v>
                </c:pt>
                <c:pt idx="16">
                  <c:v>1.6028501916770774E-2</c:v>
                </c:pt>
                <c:pt idx="17">
                  <c:v>1.0520865332239107E-2</c:v>
                </c:pt>
                <c:pt idx="18">
                  <c:v>6.4696745994935389E-3</c:v>
                </c:pt>
                <c:pt idx="19">
                  <c:v>3.7272271592779446E-3</c:v>
                </c:pt>
                <c:pt idx="20">
                  <c:v>2.0116931368666115E-3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D-47C3-8D66-4BD0E894B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540415"/>
        <c:axId val="471540895"/>
      </c:lineChart>
      <c:catAx>
        <c:axId val="4715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40895"/>
        <c:crosses val="autoZero"/>
        <c:auto val="1"/>
        <c:lblAlgn val="ctr"/>
        <c:lblOffset val="100"/>
        <c:noMultiLvlLbl val="0"/>
      </c:catAx>
      <c:valAx>
        <c:axId val="4715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 DISTRIBUTION PR-3'!$I$7</c:f>
              <c:strCache>
                <c:ptCount val="1"/>
                <c:pt idx="0">
                  <c:v>CUMMULATIVE DENSITY FUNCTION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'NORMAL DISTRIBUTION PR-3'!$G$8:$G$28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'NORMAL DISTRIBUTION PR-3'!$I$8:$I$28</c:f>
              <c:numCache>
                <c:formatCode>0.000</c:formatCode>
                <c:ptCount val="21"/>
                <c:pt idx="0">
                  <c:v>5.1504891582964309E-3</c:v>
                </c:pt>
                <c:pt idx="1">
                  <c:v>1.0439545410103852E-2</c:v>
                </c:pt>
                <c:pt idx="2">
                  <c:v>1.9950672895859594E-2</c:v>
                </c:pt>
                <c:pt idx="3">
                  <c:v>3.597978831119155E-2</c:v>
                </c:pt>
                <c:pt idx="4">
                  <c:v>6.1296736776702436E-2</c:v>
                </c:pt>
                <c:pt idx="5">
                  <c:v>9.8771410357737871E-2</c:v>
                </c:pt>
                <c:pt idx="6">
                  <c:v>0.1507577749123164</c:v>
                </c:pt>
                <c:pt idx="7">
                  <c:v>0.21834528556671992</c:v>
                </c:pt>
                <c:pt idx="8">
                  <c:v>0.30069633345562163</c:v>
                </c:pt>
                <c:pt idx="9">
                  <c:v>0.39473309876670815</c:v>
                </c:pt>
                <c:pt idx="10">
                  <c:v>0.4953688377415682</c:v>
                </c:pt>
                <c:pt idx="11">
                  <c:v>0.59630176583017103</c:v>
                </c:pt>
                <c:pt idx="12">
                  <c:v>0.69117409918194628</c:v>
                </c:pt>
                <c:pt idx="13">
                  <c:v>0.77474831431516678</c:v>
                </c:pt>
                <c:pt idx="14">
                  <c:v>0.84374542734543323</c:v>
                </c:pt>
                <c:pt idx="15">
                  <c:v>0.89712993335975844</c:v>
                </c:pt>
                <c:pt idx="16">
                  <c:v>0.93584009436159354</c:v>
                </c:pt>
                <c:pt idx="17">
                  <c:v>0.96214639912955235</c:v>
                </c:pt>
                <c:pt idx="18">
                  <c:v>0.9789004355173867</c:v>
                </c:pt>
                <c:pt idx="19">
                  <c:v>0.98890051273487289</c:v>
                </c:pt>
                <c:pt idx="20">
                  <c:v>0.99449436558586934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A-405B-A488-AD78F8B0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167103"/>
        <c:axId val="666167583"/>
      </c:lineChart>
      <c:catAx>
        <c:axId val="66616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67583"/>
        <c:crosses val="autoZero"/>
        <c:auto val="1"/>
        <c:lblAlgn val="ctr"/>
        <c:lblOffset val="100"/>
        <c:noMultiLvlLbl val="0"/>
      </c:catAx>
      <c:valAx>
        <c:axId val="6661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6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 DISTRIBUTION PR-3'!$J$7</c:f>
              <c:strCache>
                <c:ptCount val="1"/>
                <c:pt idx="0">
                  <c:v>CUMMULATIVE DENSITY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'NORMAL DISTRIBUTION PR-3'!$G$8:$G$28</c:f>
              <c:numCache>
                <c:formatCode>General</c:formatCode>
                <c:ptCount val="21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</c:numCache>
            </c:numRef>
          </c:cat>
          <c:val>
            <c:numRef>
              <c:f>'NORMAL DISTRIBUTION PR-3'!$J$8:$J$28</c:f>
              <c:numCache>
                <c:formatCode>0.000</c:formatCode>
                <c:ptCount val="21"/>
                <c:pt idx="0">
                  <c:v>5.1504891582964309E-3</c:v>
                </c:pt>
                <c:pt idx="1">
                  <c:v>1.0439545410103852E-2</c:v>
                </c:pt>
                <c:pt idx="2">
                  <c:v>1.9950672895859594E-2</c:v>
                </c:pt>
                <c:pt idx="3">
                  <c:v>3.597978831119155E-2</c:v>
                </c:pt>
                <c:pt idx="4">
                  <c:v>6.1296736776702436E-2</c:v>
                </c:pt>
                <c:pt idx="5">
                  <c:v>9.8771410357737871E-2</c:v>
                </c:pt>
                <c:pt idx="6">
                  <c:v>0.1507577749123164</c:v>
                </c:pt>
                <c:pt idx="7">
                  <c:v>0.21834528556671992</c:v>
                </c:pt>
                <c:pt idx="8">
                  <c:v>0.30069633345562163</c:v>
                </c:pt>
                <c:pt idx="9">
                  <c:v>0.39473309876670815</c:v>
                </c:pt>
                <c:pt idx="10">
                  <c:v>0.4953688377415682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0.96214639912955235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0-43B0-A018-D2F862B4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189663"/>
        <c:axId val="666188223"/>
      </c:lineChart>
      <c:catAx>
        <c:axId val="66618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88223"/>
        <c:crosses val="autoZero"/>
        <c:auto val="1"/>
        <c:lblAlgn val="ctr"/>
        <c:lblOffset val="100"/>
        <c:noMultiLvlLbl val="0"/>
      </c:catAx>
      <c:valAx>
        <c:axId val="6661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8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113393</xdr:colOff>
      <xdr:row>6</xdr:row>
      <xdr:rowOff>7257</xdr:rowOff>
    </xdr:from>
    <xdr:to>
      <xdr:col>15</xdr:col>
      <xdr:colOff>594179</xdr:colOff>
      <xdr:row>21</xdr:row>
      <xdr:rowOff>29028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DDF02-F3C7-3AE9-7A99-10F469DDC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603250</xdr:colOff>
      <xdr:row>5</xdr:row>
      <xdr:rowOff>161472</xdr:rowOff>
    </xdr:from>
    <xdr:to>
      <xdr:col>24</xdr:col>
      <xdr:colOff>312964</xdr:colOff>
      <xdr:row>21</xdr:row>
      <xdr:rowOff>1814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27B13C-5513-5231-A936-71A302FAA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430893</xdr:colOff>
      <xdr:row>22</xdr:row>
      <xdr:rowOff>116114</xdr:rowOff>
    </xdr:from>
    <xdr:to>
      <xdr:col>20</xdr:col>
      <xdr:colOff>140607</xdr:colOff>
      <xdr:row>37</xdr:row>
      <xdr:rowOff>137885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3DDF2-344B-5F51-BDFE-F5EDC9E80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E586-B137-4A3A-9322-3275035E2FCF}">
  <dimension ref="A3:L52"/>
  <sheetViews>
    <sheetView tabSelected="1" topLeftCell="C4" zoomScale="40" zoomScaleNormal="40" workbookViewId="0">
      <selection activeCell="L28" sqref="L28"/>
    </sheetView>
  </sheetViews>
  <sheetFormatPr defaultRowHeight="14.5" x14ac:dyDescent="0.35"/>
  <cols>
    <col min="4" max="4" width="35.6328125" customWidth="1"/>
    <col min="7" max="7" width="10.1796875" customWidth="1"/>
    <col min="8" max="8" width="29.08984375" customWidth="1"/>
    <col min="9" max="9" width="48.36328125" customWidth="1"/>
    <col min="10" max="10" width="33.08984375" customWidth="1"/>
    <col min="12" max="12" width="52.6328125" customWidth="1"/>
  </cols>
  <sheetData>
    <row r="3" spans="1:12" ht="23.5" x14ac:dyDescent="0.55000000000000004">
      <c r="L3" s="1" t="s">
        <v>10</v>
      </c>
    </row>
    <row r="5" spans="1:12" x14ac:dyDescent="0.35">
      <c r="A5" s="2" t="s">
        <v>0</v>
      </c>
      <c r="B5" s="2"/>
      <c r="C5" s="2"/>
      <c r="D5" s="2"/>
      <c r="E5" s="2"/>
    </row>
    <row r="6" spans="1:12" x14ac:dyDescent="0.35">
      <c r="A6" s="2"/>
      <c r="B6" s="2"/>
      <c r="C6" s="2"/>
      <c r="D6" s="2"/>
      <c r="E6" s="2"/>
    </row>
    <row r="7" spans="1:12" x14ac:dyDescent="0.35">
      <c r="A7" s="2" t="s">
        <v>1</v>
      </c>
      <c r="B7" s="2"/>
      <c r="C7" s="2"/>
      <c r="D7" s="2" t="s">
        <v>2</v>
      </c>
      <c r="E7" s="5">
        <f>AVERAGE(A8:A29)</f>
        <v>80.090909090909093</v>
      </c>
      <c r="G7" s="3" t="s">
        <v>6</v>
      </c>
      <c r="H7" s="3" t="s">
        <v>8</v>
      </c>
      <c r="I7" s="3" t="s">
        <v>9</v>
      </c>
      <c r="J7" s="3" t="s">
        <v>7</v>
      </c>
    </row>
    <row r="8" spans="1:12" x14ac:dyDescent="0.35">
      <c r="A8" s="5">
        <v>89</v>
      </c>
      <c r="B8" s="2"/>
      <c r="C8" s="2"/>
      <c r="D8" s="2" t="s">
        <v>3</v>
      </c>
      <c r="E8" s="2">
        <f>STDEV(A8:A29)</f>
        <v>7.8310072994906168</v>
      </c>
      <c r="G8" s="3">
        <v>60</v>
      </c>
      <c r="H8" s="4">
        <f>_xlfn.NORM.DIST(G8,$E$7,$E$8,FALSE)</f>
        <v>1.8958737537632232E-3</v>
      </c>
      <c r="I8" s="4">
        <f>_xlfn.NORM.DIST(G8,$E$7,$E$8,TRUE)</f>
        <v>5.1504891582964309E-3</v>
      </c>
      <c r="J8" s="4">
        <f t="array" ref="J8">IF(G8&lt;=G18,I8,0)</f>
        <v>5.1504891582964309E-3</v>
      </c>
    </row>
    <row r="9" spans="1:12" x14ac:dyDescent="0.35">
      <c r="A9" s="5">
        <v>94</v>
      </c>
      <c r="B9" s="2"/>
      <c r="C9" s="2"/>
      <c r="D9" s="2" t="s">
        <v>4</v>
      </c>
      <c r="E9" s="5">
        <f t="array" ref="E9">MIN(A8:A29)</f>
        <v>66</v>
      </c>
      <c r="G9" s="3">
        <v>62</v>
      </c>
      <c r="H9" s="4">
        <f t="shared" ref="H9:H28" si="0">_xlfn.NORM.DIST(G9,$E$7,$E$8,FALSE)</f>
        <v>3.5335299283135967E-3</v>
      </c>
      <c r="I9" s="4">
        <f t="shared" ref="I9:I28" si="1">_xlfn.NORM.DIST(G9,$E$7,$E$8,TRUE)</f>
        <v>1.0439545410103852E-2</v>
      </c>
      <c r="J9" s="4">
        <f t="array" ref="J9">IF(G9&lt;=G19,I9,0)</f>
        <v>1.0439545410103852E-2</v>
      </c>
    </row>
    <row r="10" spans="1:12" x14ac:dyDescent="0.35">
      <c r="A10" s="5">
        <v>78</v>
      </c>
      <c r="B10" s="2"/>
      <c r="C10" s="2"/>
      <c r="D10" s="2" t="s">
        <v>5</v>
      </c>
      <c r="E10" s="5">
        <f>MAX(A8:A290)</f>
        <v>97</v>
      </c>
      <c r="G10" s="3">
        <v>64</v>
      </c>
      <c r="H10" s="4">
        <f t="shared" si="0"/>
        <v>6.1699349013988099E-3</v>
      </c>
      <c r="I10" s="4">
        <f t="shared" si="1"/>
        <v>1.9950672895859594E-2</v>
      </c>
      <c r="J10" s="4">
        <f t="array" ref="J10">IF(G10&lt;=G20,I10,0)</f>
        <v>1.9950672895859594E-2</v>
      </c>
    </row>
    <row r="11" spans="1:12" x14ac:dyDescent="0.35">
      <c r="A11" s="5">
        <v>80</v>
      </c>
      <c r="B11" s="2"/>
      <c r="C11" s="2"/>
      <c r="D11" s="2"/>
      <c r="E11" s="2"/>
      <c r="G11" s="3">
        <v>66</v>
      </c>
      <c r="H11" s="4">
        <f t="shared" si="0"/>
        <v>1.0093106077214488E-2</v>
      </c>
      <c r="I11" s="4">
        <f t="shared" si="1"/>
        <v>3.597978831119155E-2</v>
      </c>
      <c r="J11" s="4">
        <f t="array" ref="J11">IF(G11&lt;=G21,I11,0)</f>
        <v>3.597978831119155E-2</v>
      </c>
    </row>
    <row r="12" spans="1:12" x14ac:dyDescent="0.35">
      <c r="A12" s="5">
        <v>81</v>
      </c>
      <c r="B12" s="2"/>
      <c r="C12" s="2"/>
      <c r="D12" s="2"/>
      <c r="E12" s="2"/>
      <c r="G12" s="3">
        <v>68</v>
      </c>
      <c r="H12" s="4">
        <f t="shared" si="0"/>
        <v>1.5468262783159081E-2</v>
      </c>
      <c r="I12" s="4">
        <f t="shared" si="1"/>
        <v>6.1296736776702436E-2</v>
      </c>
      <c r="J12" s="4">
        <f t="array" ref="J12">IF(G12&lt;=G22,I12,0)</f>
        <v>6.1296736776702436E-2</v>
      </c>
    </row>
    <row r="13" spans="1:12" x14ac:dyDescent="0.35">
      <c r="A13" s="5">
        <v>75</v>
      </c>
      <c r="B13" s="2"/>
      <c r="C13" s="2"/>
      <c r="D13" s="2"/>
      <c r="E13" s="2"/>
      <c r="G13" s="3">
        <v>70</v>
      </c>
      <c r="H13" s="4">
        <f t="shared" si="0"/>
        <v>2.2209086385300676E-2</v>
      </c>
      <c r="I13" s="4">
        <f t="shared" si="1"/>
        <v>9.8771410357737871E-2</v>
      </c>
      <c r="J13" s="4">
        <f t="array" ref="J13">IF(G13&lt;=G23,I13,0)</f>
        <v>9.8771410357737871E-2</v>
      </c>
    </row>
    <row r="14" spans="1:12" x14ac:dyDescent="0.35">
      <c r="A14" s="5">
        <v>83</v>
      </c>
      <c r="B14" s="2"/>
      <c r="C14" s="2"/>
      <c r="D14" s="2"/>
      <c r="E14" s="2"/>
      <c r="G14" s="3">
        <v>72</v>
      </c>
      <c r="H14" s="4">
        <f t="shared" si="0"/>
        <v>2.987392547447798E-2</v>
      </c>
      <c r="I14" s="4">
        <f t="shared" si="1"/>
        <v>0.1507577749123164</v>
      </c>
      <c r="J14" s="4">
        <f t="array" ref="J14">IF(G14&lt;=G24,I14,0)</f>
        <v>0.1507577749123164</v>
      </c>
    </row>
    <row r="15" spans="1:12" x14ac:dyDescent="0.35">
      <c r="A15" s="5">
        <v>88</v>
      </c>
      <c r="B15" s="2"/>
      <c r="C15" s="2"/>
      <c r="D15" s="2"/>
      <c r="E15" s="2"/>
      <c r="G15" s="3">
        <v>74</v>
      </c>
      <c r="H15" s="4">
        <f t="shared" si="0"/>
        <v>3.7646650410724777E-2</v>
      </c>
      <c r="I15" s="4">
        <f t="shared" si="1"/>
        <v>0.21834528556671992</v>
      </c>
      <c r="J15" s="4">
        <f t="array" ref="J15">IF(G15&lt;=G25,I15,0)</f>
        <v>0.21834528556671992</v>
      </c>
    </row>
    <row r="16" spans="1:12" x14ac:dyDescent="0.35">
      <c r="A16" s="5">
        <v>75</v>
      </c>
      <c r="B16" s="2"/>
      <c r="C16" s="2"/>
      <c r="D16" s="2"/>
      <c r="E16" s="2"/>
      <c r="G16" s="3">
        <v>76</v>
      </c>
      <c r="H16" s="4">
        <f t="shared" si="0"/>
        <v>4.4446015879033046E-2</v>
      </c>
      <c r="I16" s="4">
        <f t="shared" si="1"/>
        <v>0.30069633345562163</v>
      </c>
      <c r="J16" s="4">
        <f t="array" ref="J16">IF(G16&lt;=G26,I16,0)</f>
        <v>0.30069633345562163</v>
      </c>
    </row>
    <row r="17" spans="1:10" x14ac:dyDescent="0.35">
      <c r="A17" s="5">
        <v>82</v>
      </c>
      <c r="B17" s="2"/>
      <c r="C17" s="2"/>
      <c r="D17" s="2"/>
      <c r="E17" s="2"/>
      <c r="G17" s="3">
        <v>78</v>
      </c>
      <c r="H17" s="4">
        <f t="shared" si="0"/>
        <v>4.9159989454186405E-2</v>
      </c>
      <c r="I17" s="4">
        <f t="shared" si="1"/>
        <v>0.39473309876670815</v>
      </c>
      <c r="J17" s="4">
        <f t="array" ref="J17">IF(G17&lt;=G27,I17,0)</f>
        <v>0.39473309876670815</v>
      </c>
    </row>
    <row r="18" spans="1:10" x14ac:dyDescent="0.35">
      <c r="A18" s="5">
        <v>87</v>
      </c>
      <c r="B18" s="2"/>
      <c r="C18" s="2"/>
      <c r="D18" s="2"/>
      <c r="E18" s="2"/>
      <c r="G18" s="3">
        <v>80</v>
      </c>
      <c r="H18" s="4">
        <f t="shared" si="0"/>
        <v>5.0940496437178566E-2</v>
      </c>
      <c r="I18" s="4">
        <f t="shared" si="1"/>
        <v>0.4953688377415682</v>
      </c>
      <c r="J18" s="4">
        <f t="array" ref="J18">IF(G18&lt;=G28,I18,0)</f>
        <v>0.4953688377415682</v>
      </c>
    </row>
    <row r="19" spans="1:10" x14ac:dyDescent="0.35">
      <c r="A19" s="5">
        <v>66</v>
      </c>
      <c r="B19" s="2"/>
      <c r="C19" s="2"/>
      <c r="D19" s="2"/>
      <c r="E19" s="2"/>
      <c r="G19" s="3">
        <v>82</v>
      </c>
      <c r="H19" s="4">
        <f t="shared" si="0"/>
        <v>4.9452358965552397E-2</v>
      </c>
      <c r="I19" s="4">
        <f t="shared" si="1"/>
        <v>0.59630176583017103</v>
      </c>
      <c r="J19" s="4">
        <f t="array" ref="J19">IF(G19&lt;=G29,I19,0)</f>
        <v>0</v>
      </c>
    </row>
    <row r="20" spans="1:10" x14ac:dyDescent="0.35">
      <c r="A20" s="5">
        <v>71</v>
      </c>
      <c r="B20" s="2"/>
      <c r="C20" s="2"/>
      <c r="D20" s="2"/>
      <c r="E20" s="2"/>
      <c r="G20" s="3">
        <v>84</v>
      </c>
      <c r="H20" s="4">
        <f t="shared" si="0"/>
        <v>4.4976256088619049E-2</v>
      </c>
      <c r="I20" s="4">
        <f t="shared" si="1"/>
        <v>0.69117409918194628</v>
      </c>
      <c r="J20" s="4">
        <f t="array" ref="J20">IF(G20&lt;=G30,I20,0)</f>
        <v>0</v>
      </c>
    </row>
    <row r="21" spans="1:10" x14ac:dyDescent="0.35">
      <c r="A21" s="5">
        <v>73</v>
      </c>
      <c r="B21" s="2"/>
      <c r="C21" s="2"/>
      <c r="D21" s="2"/>
      <c r="E21" s="2"/>
      <c r="G21" s="3">
        <v>86</v>
      </c>
      <c r="H21" s="4">
        <f t="shared" si="0"/>
        <v>3.8322341542245161E-2</v>
      </c>
      <c r="I21" s="4">
        <f t="shared" si="1"/>
        <v>0.77474831431516678</v>
      </c>
      <c r="J21" s="4">
        <f t="array" ref="J21">IF(G21&lt;=G31,I21,0)</f>
        <v>0</v>
      </c>
    </row>
    <row r="22" spans="1:10" x14ac:dyDescent="0.35">
      <c r="A22" s="5">
        <v>76</v>
      </c>
      <c r="B22" s="2"/>
      <c r="C22" s="2"/>
      <c r="D22" s="2"/>
      <c r="E22" s="2"/>
      <c r="G22" s="3">
        <v>88</v>
      </c>
      <c r="H22" s="4">
        <f t="shared" si="0"/>
        <v>3.059096810611724E-2</v>
      </c>
      <c r="I22" s="4">
        <f t="shared" si="1"/>
        <v>0.84374542734543323</v>
      </c>
      <c r="J22" s="4">
        <f t="array" ref="J22">IF(G22&lt;=G32,I22,0)</f>
        <v>0</v>
      </c>
    </row>
    <row r="23" spans="1:10" x14ac:dyDescent="0.35">
      <c r="A23" s="5">
        <v>74</v>
      </c>
      <c r="B23" s="2"/>
      <c r="C23" s="2"/>
      <c r="D23" s="2"/>
      <c r="E23" s="2"/>
      <c r="G23" s="3">
        <v>90</v>
      </c>
      <c r="H23" s="4">
        <f t="shared" si="0"/>
        <v>2.2877409885976793E-2</v>
      </c>
      <c r="I23" s="4">
        <f t="shared" si="1"/>
        <v>0.89712993335975844</v>
      </c>
      <c r="J23" s="4">
        <f t="array" ref="J23">IF(G23&lt;=G33,I23,0)</f>
        <v>0</v>
      </c>
    </row>
    <row r="24" spans="1:10" x14ac:dyDescent="0.35">
      <c r="A24" s="5">
        <v>72</v>
      </c>
      <c r="B24" s="2"/>
      <c r="C24" s="2"/>
      <c r="D24" s="2"/>
      <c r="E24" s="2"/>
      <c r="G24" s="3">
        <v>92</v>
      </c>
      <c r="H24" s="4">
        <f t="shared" si="0"/>
        <v>1.6028501916770774E-2</v>
      </c>
      <c r="I24" s="4">
        <f t="shared" si="1"/>
        <v>0.93584009436159354</v>
      </c>
      <c r="J24" s="4">
        <f t="array" ref="J24">IF(G24&lt;=G34,I24,0)</f>
        <v>0</v>
      </c>
    </row>
    <row r="25" spans="1:10" x14ac:dyDescent="0.35">
      <c r="A25" s="5">
        <v>75</v>
      </c>
      <c r="B25" s="2"/>
      <c r="C25" s="2"/>
      <c r="D25" s="2"/>
      <c r="E25" s="2"/>
      <c r="G25" s="3">
        <v>94</v>
      </c>
      <c r="H25" s="4">
        <f t="shared" si="0"/>
        <v>1.0520865332239107E-2</v>
      </c>
      <c r="I25" s="4">
        <f t="shared" si="1"/>
        <v>0.96214639912955235</v>
      </c>
      <c r="J25" s="4">
        <f t="array" ref="J25">IF(G25&lt;=G35,I25,0)</f>
        <v>0.96214639912955235</v>
      </c>
    </row>
    <row r="26" spans="1:10" x14ac:dyDescent="0.35">
      <c r="A26" s="5">
        <v>81</v>
      </c>
      <c r="B26" s="2"/>
      <c r="C26" s="2"/>
      <c r="D26" s="2"/>
      <c r="E26" s="2"/>
      <c r="G26" s="3">
        <v>96</v>
      </c>
      <c r="H26" s="4">
        <f t="shared" si="0"/>
        <v>6.4696745994935389E-3</v>
      </c>
      <c r="I26" s="4">
        <f t="shared" si="1"/>
        <v>0.9789004355173867</v>
      </c>
      <c r="J26" s="4">
        <f t="array" ref="J26">IF(G26&lt;=G36,I26,0)</f>
        <v>0</v>
      </c>
    </row>
    <row r="27" spans="1:10" x14ac:dyDescent="0.35">
      <c r="A27" s="5">
        <v>97</v>
      </c>
      <c r="B27" s="2"/>
      <c r="C27" s="2"/>
      <c r="D27" s="2"/>
      <c r="E27" s="2"/>
      <c r="G27" s="3">
        <v>98</v>
      </c>
      <c r="H27" s="4">
        <f t="shared" si="0"/>
        <v>3.7272271592779446E-3</v>
      </c>
      <c r="I27" s="4">
        <f t="shared" si="1"/>
        <v>0.98890051273487289</v>
      </c>
      <c r="J27" s="4">
        <f t="array" ref="J27">IF(G27&lt;=G37,I27,0)</f>
        <v>0</v>
      </c>
    </row>
    <row r="28" spans="1:10" x14ac:dyDescent="0.35">
      <c r="A28" s="5">
        <v>88</v>
      </c>
      <c r="B28" s="2"/>
      <c r="C28" s="2"/>
      <c r="D28" s="2"/>
      <c r="E28" s="2"/>
      <c r="G28" s="3">
        <v>100</v>
      </c>
      <c r="H28" s="4">
        <f t="shared" si="0"/>
        <v>2.0116931368666115E-3</v>
      </c>
      <c r="I28" s="4">
        <f t="shared" si="1"/>
        <v>0.99449436558586934</v>
      </c>
      <c r="J28" s="4">
        <f t="array" ref="J28">IF(G28&lt;=G38,I28,0)</f>
        <v>0</v>
      </c>
    </row>
    <row r="29" spans="1:10" x14ac:dyDescent="0.35">
      <c r="A29" s="5">
        <v>77</v>
      </c>
    </row>
    <row r="30" spans="1:10" x14ac:dyDescent="0.35">
      <c r="A30" s="2"/>
    </row>
    <row r="31" spans="1:10" x14ac:dyDescent="0.35">
      <c r="A31" s="2"/>
    </row>
    <row r="32" spans="1:10" x14ac:dyDescent="0.35">
      <c r="A32" s="2"/>
    </row>
    <row r="33" spans="1:10" x14ac:dyDescent="0.35">
      <c r="A33" t="s">
        <v>11</v>
      </c>
    </row>
    <row r="35" spans="1:10" x14ac:dyDescent="0.35">
      <c r="A35" t="s">
        <v>12</v>
      </c>
      <c r="G35" s="3" t="s">
        <v>6</v>
      </c>
      <c r="H35" s="3" t="s">
        <v>8</v>
      </c>
      <c r="I35" s="3" t="s">
        <v>9</v>
      </c>
      <c r="J35" s="3" t="s">
        <v>7</v>
      </c>
    </row>
    <row r="36" spans="1:10" x14ac:dyDescent="0.35">
      <c r="A36">
        <v>76</v>
      </c>
      <c r="D36" t="s">
        <v>2</v>
      </c>
      <c r="E36">
        <f>AVERAGE(A36:A52)</f>
        <v>56.352941176470587</v>
      </c>
    </row>
    <row r="37" spans="1:10" x14ac:dyDescent="0.35">
      <c r="A37">
        <v>82</v>
      </c>
      <c r="D37" t="s">
        <v>13</v>
      </c>
      <c r="E37">
        <f>STDEV(A36:A52)</f>
        <v>21.739771090304135</v>
      </c>
    </row>
    <row r="38" spans="1:10" x14ac:dyDescent="0.35">
      <c r="A38">
        <v>64</v>
      </c>
      <c r="D38" t="s">
        <v>14</v>
      </c>
      <c r="E38">
        <f>MIN(A36:A52)</f>
        <v>20</v>
      </c>
    </row>
    <row r="39" spans="1:10" x14ac:dyDescent="0.35">
      <c r="A39">
        <v>62</v>
      </c>
      <c r="D39" t="s">
        <v>5</v>
      </c>
      <c r="E39">
        <f>MAX(A36:A52)</f>
        <v>92</v>
      </c>
    </row>
    <row r="40" spans="1:10" x14ac:dyDescent="0.35">
      <c r="A40">
        <v>56</v>
      </c>
    </row>
    <row r="41" spans="1:10" x14ac:dyDescent="0.35">
      <c r="A41">
        <v>50</v>
      </c>
    </row>
    <row r="42" spans="1:10" x14ac:dyDescent="0.35">
      <c r="A42">
        <v>44</v>
      </c>
    </row>
    <row r="43" spans="1:10" x14ac:dyDescent="0.35">
      <c r="A43">
        <v>38</v>
      </c>
    </row>
    <row r="44" spans="1:10" x14ac:dyDescent="0.35">
      <c r="A44">
        <v>32</v>
      </c>
    </row>
    <row r="45" spans="1:10" x14ac:dyDescent="0.35">
      <c r="A45">
        <v>26</v>
      </c>
    </row>
    <row r="46" spans="1:10" x14ac:dyDescent="0.35">
      <c r="A46">
        <v>20</v>
      </c>
    </row>
    <row r="47" spans="1:10" x14ac:dyDescent="0.35">
      <c r="A47">
        <v>64</v>
      </c>
    </row>
    <row r="48" spans="1:10" x14ac:dyDescent="0.35">
      <c r="A48">
        <v>78</v>
      </c>
    </row>
    <row r="49" spans="1:1" x14ac:dyDescent="0.35">
      <c r="A49">
        <v>92</v>
      </c>
    </row>
    <row r="50" spans="1:1" x14ac:dyDescent="0.35">
      <c r="A50">
        <v>56</v>
      </c>
    </row>
    <row r="51" spans="1:1" x14ac:dyDescent="0.35">
      <c r="A51">
        <v>84</v>
      </c>
    </row>
    <row r="52" spans="1:1" x14ac:dyDescent="0.35">
      <c r="A52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DISTRIBUTION PR-3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Khan</dc:creator>
  <cp:lastModifiedBy>Ibrahim Khan</cp:lastModifiedBy>
  <dcterms:created xsi:type="dcterms:W3CDTF">2025-10-12T06:47:29Z</dcterms:created>
  <dcterms:modified xsi:type="dcterms:W3CDTF">2025-11-20T20:25:42Z</dcterms:modified>
</cp:coreProperties>
</file>